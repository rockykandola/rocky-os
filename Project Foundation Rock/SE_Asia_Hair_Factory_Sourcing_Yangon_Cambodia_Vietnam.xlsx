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yanmar Entry + Yangon Safety" sheetId="2" state="visible" r:id="rId2"/>
    <sheet xmlns:r="http://schemas.openxmlformats.org/officeDocument/2006/relationships" name="Myanmar Yangon Leads" sheetId="3" state="visible" r:id="rId3"/>
    <sheet xmlns:r="http://schemas.openxmlformats.org/officeDocument/2006/relationships" name="Cambodia Leads" sheetId="4" state="visible" r:id="rId4"/>
    <sheet xmlns:r="http://schemas.openxmlformats.org/officeDocument/2006/relationships" name="Vietnam Leads" sheetId="5" state="visible" r:id="rId5"/>
    <sheet xmlns:r="http://schemas.openxmlformats.org/officeDocument/2006/relationships" name="WhatsApp Scripts" sheetId="6" state="visible" r:id="rId6"/>
    <sheet xmlns:r="http://schemas.openxmlformats.org/officeDocument/2006/relationships" name="Country Strategy" sheetId="7" state="visible" r:id="rId7"/>
  </sheets>
  <definedNames>
    <definedName name="_xlnm._FilterDatabase" localSheetId="1" hidden="1">'Myanmar Entry + Yangon Safety'!$A$1:$D$7</definedName>
    <definedName name="_xlnm._FilterDatabase" localSheetId="2" hidden="1">'Myanmar Yangon Leads'!$A$1:$O$9</definedName>
    <definedName name="_xlnm._FilterDatabase" localSheetId="3" hidden="1">'Cambodia Leads'!$A$1:$O$11</definedName>
    <definedName name="_xlnm._FilterDatabase" localSheetId="4" hidden="1">'Vietnam Leads'!$A$1:$O$17</definedName>
    <definedName name="_xlnm._FilterDatabase" localSheetId="5" hidden="1">'WhatsApp Scripts'!$A$1:$B$7</definedName>
    <definedName name="_xlnm._FilterDatabase" localSheetId="6" hidden="1">'Country Strategy'!$A$1:$E$4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6666"/>
      <sz val="10"/>
    </font>
    <font>
      <b val="1"/>
      <color rgb="00666666"/>
    </font>
    <font>
      <name val="Aptos"/>
      <color rgb="00000000"/>
      <sz val="10"/>
    </font>
    <font>
      <name val="Aptos"/>
      <b val="1"/>
      <color rgb="00FFFFFF"/>
      <sz val="10"/>
    </font>
    <font>
      <name val="Aptos"/>
      <color rgb="000000FF"/>
      <sz val="10"/>
      <u val="single"/>
    </font>
    <font>
      <name val="Aptos"/>
      <color rgb="00F4B183"/>
      <sz val="10"/>
    </font>
    <font>
      <name val="Aptos"/>
      <color rgb="00008000"/>
      <sz val="10"/>
    </font>
    <font>
      <b val="1"/>
      <color rgb="007030A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I1" authorId="0" shapeId="0">
      <text>
        <t>Clickable formula uses wa.me with digits from the public phone/WhatsApp number. Verify recipient identity before sending payments.</t>
      </text>
    </comment>
    <comment ref="K1" authorId="0" shapeId="0">
      <text>
        <t>Secondary WhatsApp link if a second public number exists.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I1" authorId="0" shapeId="0">
      <text>
        <t>Clickable formula uses wa.me with digits from the public phone/WhatsApp number. Verify recipient identity before sending payments.</t>
      </text>
    </comment>
    <comment ref="K1" authorId="0" shapeId="0">
      <text>
        <t>Secondary WhatsApp link if a second public number exists.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I1" authorId="0" shapeId="0">
      <text>
        <t>Clickable formula uses wa.me with digits from the public phone/WhatsApp number. Verify recipient identity before sending payments.</t>
      </text>
    </comment>
    <comment ref="K1" authorId="0" shapeId="0">
      <text>
        <t>Secondary WhatsApp link if a second public number exists.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ravel.state.gov/content/travel/en/traveladvisories/traveladvisories/burma-travel-advisory.html" TargetMode="External" Id="rId1"/><Relationship Type="http://schemas.openxmlformats.org/officeDocument/2006/relationships/hyperlink" Target="https://evisa.moip.gov.mm/apply-visa/notice-tourist-visa" TargetMode="External" Id="rId2"/><Relationship Type="http://schemas.openxmlformats.org/officeDocument/2006/relationships/hyperlink" Target="https://evisa.moip.gov.mm/apply-visa/notice-business-visa" TargetMode="External" Id="rId3"/><Relationship Type="http://schemas.openxmlformats.org/officeDocument/2006/relationships/hyperlink" Target="https://evisa.moip.gov.mm/notice/tourist" TargetMode="External" Id="rId4"/><Relationship Type="http://schemas.openxmlformats.org/officeDocument/2006/relationships/hyperlink" Target="https://www.myanmarhairextension.com/contact.html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yanmarhairextension.com/contact.html" TargetMode="External" Id="rId1"/><Relationship Type="http://schemas.openxmlformats.org/officeDocument/2006/relationships/hyperlink" Target="https://myanmarhairexporter.com/contact-us-send-inquiry/" TargetMode="External" Id="rId2"/><Relationship Type="http://schemas.openxmlformats.org/officeDocument/2006/relationships/hyperlink" Target="https://www.myanmarhairextension.com/" TargetMode="External" Id="rId3"/><Relationship Type="http://schemas.openxmlformats.org/officeDocument/2006/relationships/hyperlink" Target="https://www.beautynailhairsalons.com/MM/Yangon/768994363255832/Burmese-Hair-Extensions-Center-1" TargetMode="External" Id="rId4"/><Relationship Type="http://schemas.openxmlformats.org/officeDocument/2006/relationships/hyperlink" Target="https://www.findglocal.com/MM/Yangon/768994363255832/Burmese-Hair-Extensions-Center-1" TargetMode="External" Id="rId5"/><Relationship Type="http://schemas.openxmlformats.org/officeDocument/2006/relationships/hyperlink" Target="http://www.efficienthairbusiness.com/" TargetMode="External" Id="rId6"/><Relationship Type="http://schemas.openxmlformats.org/officeDocument/2006/relationships/hyperlink" Target="https://www.beautynailhairsalons.com/MM/Yangon/768994363255832/Burmese-Hair-Extensions-Center-1" TargetMode="External" Id="rId7"/><Relationship Type="http://schemas.openxmlformats.org/officeDocument/2006/relationships/hyperlink" Target="https://www.findglocal.com/MM/Yangon/154494-8/genre/181550638549454/Hairpieces%2B%26%2BExtensions" TargetMode="External" Id="rId8"/><Relationship Type="http://schemas.openxmlformats.org/officeDocument/2006/relationships/hyperlink" Target="https://www.yangondirectory.com/listing/freelisting/wigs" TargetMode="External" Id="rId9"/><Relationship Type="http://schemas.openxmlformats.org/officeDocument/2006/relationships/hyperlink" Target="https://www.dica.gov.mm/" TargetMode="External" Id="rId10"/><Relationship Type="http://schemas.openxmlformats.org/officeDocument/2006/relationships/hyperlink" Target="https://glahair.com/blog/burmese-hair-factory/" TargetMode="External" Id="rId1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cambodianhairfactory.com/contact-page/" TargetMode="External" Id="rId1"/><Relationship Type="http://schemas.openxmlformats.org/officeDocument/2006/relationships/hyperlink" Target="https://cambodianhairfactory.com/about-us/" TargetMode="External" Id="rId2"/><Relationship Type="http://schemas.openxmlformats.org/officeDocument/2006/relationships/hyperlink" Target="https://www.virginhaircambodia.com/" TargetMode="External" Id="rId3"/><Relationship Type="http://schemas.openxmlformats.org/officeDocument/2006/relationships/hyperlink" Target="https://www.virginhaircambodia.com/contact" TargetMode="External" Id="rId4"/><Relationship Type="http://schemas.openxmlformats.org/officeDocument/2006/relationships/hyperlink" Target="https://www.findglocal.com/KH/Siem-Reap/115186696796611/Cambodian-Raw-Hair---CRH" TargetMode="External" Id="rId5"/><Relationship Type="http://schemas.openxmlformats.org/officeDocument/2006/relationships/hyperlink" Target="https://www.cambodianrawhair.com/" TargetMode="External" Id="rId6"/><Relationship Type="http://schemas.openxmlformats.org/officeDocument/2006/relationships/hyperlink" Target="https://www.cambodianrawhairextensions.com/contactus" TargetMode="External" Id="rId7"/><Relationship Type="http://schemas.openxmlformats.org/officeDocument/2006/relationships/hyperlink" Target="https://www.beautynailhairsalons.com/KH/Phnom-Penh/1435048319854511/Sambo-hair-extensions" TargetMode="External" Id="rId8"/><Relationship Type="http://schemas.openxmlformats.org/officeDocument/2006/relationships/hyperlink" Target="https://www.beautynailhairsalons.com/KH/Siem-Reap/299889944285394/Apsarangkor-Premium-Virgin-Hair" TargetMode="External" Id="rId9"/><Relationship Type="http://schemas.openxmlformats.org/officeDocument/2006/relationships/hyperlink" Target="https://www.findglocal.com/KH/Siem-Reap/107401070838366/Beon-Hair-Extensions" TargetMode="External" Id="rId10"/><Relationship Type="http://schemas.openxmlformats.org/officeDocument/2006/relationships/hyperlink" Target="https://kh56490.contact.page/" TargetMode="External" Id="rId11"/><Relationship Type="http://schemas.openxmlformats.org/officeDocument/2006/relationships/hyperlink" Target="https://www.beautynailhairsalons.com/KH/Phnom-Penh/179503428841451/The-Elect-Cambodian-Hair-Company" TargetMode="External" Id="rId12"/><Relationship Type="http://schemas.openxmlformats.org/officeDocument/2006/relationships/hyperlink" Target="https://dellahshair.tumblr.com/" TargetMode="External" Id="rId1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ttvietnamhair.com/" TargetMode="External" Id="rId1"/><Relationship Type="http://schemas.openxmlformats.org/officeDocument/2006/relationships/hyperlink" Target="https://lynhair.com/human-hair-extensions/" TargetMode="External" Id="rId2"/><Relationship Type="http://schemas.openxmlformats.org/officeDocument/2006/relationships/hyperlink" Target="https://azyhair.com/" TargetMode="External" Id="rId3"/><Relationship Type="http://schemas.openxmlformats.org/officeDocument/2006/relationships/hyperlink" Target="https://vananhhair.com/contact/" TargetMode="External" Id="rId4"/><Relationship Type="http://schemas.openxmlformats.org/officeDocument/2006/relationships/hyperlink" Target="https://www.beautynailhairsalons.com/VN/Unknown/181859389029354/Luxshine-Hair-Factory--Wholesale-Hair-Extensions" TargetMode="External" Id="rId5"/><Relationship Type="http://schemas.openxmlformats.org/officeDocument/2006/relationships/hyperlink" Target="https://luxshinehair.com" TargetMode="External" Id="rId6"/><Relationship Type="http://schemas.openxmlformats.org/officeDocument/2006/relationships/hyperlink" Target="https://govihair.com/" TargetMode="External" Id="rId7"/><Relationship Type="http://schemas.openxmlformats.org/officeDocument/2006/relationships/hyperlink" Target="https://www.rusahair.com/" TargetMode="External" Id="rId8"/><Relationship Type="http://schemas.openxmlformats.org/officeDocument/2006/relationships/hyperlink" Target="https://hairac.com.vn/" TargetMode="External" Id="rId9"/><Relationship Type="http://schemas.openxmlformats.org/officeDocument/2006/relationships/hyperlink" Target="https://apohair.com/" TargetMode="External" Id="rId10"/><Relationship Type="http://schemas.openxmlformats.org/officeDocument/2006/relationships/hyperlink" Target="https://apohair.com/raw-vietnamese-hair-wholesale/" TargetMode="External" Id="rId11"/><Relationship Type="http://schemas.openxmlformats.org/officeDocument/2006/relationships/hyperlink" Target="https://greathair.com.vn/" TargetMode="External" Id="rId12"/><Relationship Type="http://schemas.openxmlformats.org/officeDocument/2006/relationships/hyperlink" Target="https://k-hair.com/" TargetMode="External" Id="rId13"/><Relationship Type="http://schemas.openxmlformats.org/officeDocument/2006/relationships/hyperlink" Target="https://vqhair.com/about-us/" TargetMode="External" Id="rId14"/><Relationship Type="http://schemas.openxmlformats.org/officeDocument/2006/relationships/hyperlink" Target="https://vqhair.com/" TargetMode="External" Id="rId15"/><Relationship Type="http://schemas.openxmlformats.org/officeDocument/2006/relationships/hyperlink" Target="https://nicehairvn.com/" TargetMode="External" Id="rId16"/><Relationship Type="http://schemas.openxmlformats.org/officeDocument/2006/relationships/hyperlink" Target="https://michair.vn/contact" TargetMode="External" Id="rId17"/><Relationship Type="http://schemas.openxmlformats.org/officeDocument/2006/relationships/hyperlink" Target="https://www.beautynailhairsalons.com/VN/Hanoi/595724573902434/MIC-Hair-Nhung" TargetMode="External" Id="rId18"/><Relationship Type="http://schemas.openxmlformats.org/officeDocument/2006/relationships/hyperlink" Target="https://glahair.com/blog/raw-vietnamese-hair-vendors/" TargetMode="External" Id="rId19"/><Relationship Type="http://schemas.openxmlformats.org/officeDocument/2006/relationships/hyperlink" Target="https://macsara.vn/" TargetMode="External" Id="rId20"/><Relationship Type="http://schemas.openxmlformats.org/officeDocument/2006/relationships/hyperlink" Target="https://nicehairs.com/About" TargetMode="External" Id="rId2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4" customHeight="1">
      <c r="A1" s="1" t="inlineStr">
        <is>
          <t>SE Asia Hair Factory Sourcing Workbook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Yangon-focused Myanmar visit plan + Cambodia and Vietnam factory/contact sheets with click-to-WhatsApp links.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inlineStr">
        <is>
          <t>Last updated</t>
        </is>
      </c>
      <c r="B4" s="4" t="inlineStr">
        <is>
          <t>2026-08-17</t>
        </is>
      </c>
      <c r="C4" s="4" t="n"/>
      <c r="D4" s="4" t="n"/>
      <c r="E4" s="4" t="n"/>
      <c r="F4" s="4" t="n"/>
      <c r="G4" s="4" t="n"/>
      <c r="H4" s="4" t="n"/>
    </row>
    <row r="5">
      <c r="A5" s="4" t="inlineStr">
        <is>
          <t>How to use</t>
        </is>
      </c>
      <c r="B5" s="4" t="inlineStr">
        <is>
          <t>Start with the Myanmar Entry &amp; Yangon Safety sheet, then contact suppliers from the country tabs using the blue WhatsApp cells.</t>
        </is>
      </c>
      <c r="C5" s="4" t="n"/>
      <c r="D5" s="4" t="n"/>
      <c r="E5" s="4" t="n"/>
      <c r="F5" s="4" t="n"/>
      <c r="G5" s="4" t="n"/>
      <c r="H5" s="4" t="n"/>
    </row>
    <row r="6">
      <c r="A6" s="4" t="inlineStr">
        <is>
          <t>Most important warning</t>
        </is>
      </c>
      <c r="B6" s="4" t="inlineStr">
        <is>
          <t>Myanmar/Burma is under a U.S. Level 4 Do Not Travel advisory. Use Yangon-only hotel/airport/private-driver movement if you decide to go, and verify each appointment before traveling.</t>
        </is>
      </c>
      <c r="C6" s="4" t="n"/>
      <c r="D6" s="4" t="n"/>
      <c r="E6" s="4" t="n"/>
      <c r="F6" s="4" t="n"/>
      <c r="G6" s="4" t="n"/>
      <c r="H6" s="4" t="n"/>
    </row>
    <row r="7">
      <c r="A7" s="4" t="inlineStr">
        <is>
          <t>Contact workflow</t>
        </is>
      </c>
      <c r="B7" s="4" t="inlineStr">
        <is>
          <t>1) WhatsApp first. 2) Ask for live video tour. 3) Ask if hair is local-origin or imported. 4) Ask for export docs and sample invoice. 5) Start with small paid samples only.</t>
        </is>
      </c>
      <c r="C7" s="4" t="n"/>
      <c r="D7" s="4" t="n"/>
      <c r="E7" s="4" t="n"/>
      <c r="F7" s="4" t="n"/>
      <c r="G7" s="4" t="n"/>
      <c r="H7" s="4" t="n"/>
    </row>
    <row r="8">
      <c r="A8" s="4" t="inlineStr">
        <is>
          <t>Color key</t>
        </is>
      </c>
      <c r="B8" s="4" t="inlineStr">
        <is>
          <t>Green text = source/imported info. Blue text = clickable/action inputs. Orange = caution. Red fill = safety/compliance flag.</t>
        </is>
      </c>
      <c r="C8" s="4" t="n"/>
      <c r="D8" s="4" t="n"/>
      <c r="E8" s="4" t="n"/>
      <c r="F8" s="4" t="n"/>
      <c r="G8" s="4" t="n"/>
      <c r="H8" s="4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70" customWidth="1" min="3" max="3"/>
    <col width="60" customWidth="1" min="4" max="4"/>
  </cols>
  <sheetData>
    <row r="1" ht="32" customHeight="1">
      <c r="A1" s="5" t="inlineStr">
        <is>
          <t>Topic</t>
        </is>
      </c>
      <c r="B1" s="5" t="inlineStr">
        <is>
          <t>Current finding</t>
        </is>
      </c>
      <c r="C1" s="5" t="inlineStr">
        <is>
          <t>Practical recommendation</t>
        </is>
      </c>
      <c r="D1" s="5" t="inlineStr">
        <is>
          <t>Source URL</t>
        </is>
      </c>
    </row>
    <row r="2">
      <c r="A2" s="6" t="inlineStr">
        <is>
          <t>U.S. government safety advisory</t>
        </is>
      </c>
      <c r="B2" s="6" t="inlineStr">
        <is>
          <t>The U.S. State Department lists Burma/Myanmar as Level 4: Do Not Travel due to armed conflict, unrest, arbitrary law enforcement, poor health infrastructure, landmines/UXO and crime.</t>
        </is>
      </c>
      <c r="C2" s="6" t="inlineStr">
        <is>
          <t>If you go anyway, keep it Yangon-only, use private driver/security-minded local fixer, avoid protests/crowds, do not do overland sourcing runs without a current local security check.</t>
        </is>
      </c>
      <c r="D2" s="7" t="inlineStr">
        <is>
          <t>https://travel.state.gov/content/travel/en/traveladvisories/traveladvisories/burma-travel-advisory.html</t>
        </is>
      </c>
    </row>
    <row r="3">
      <c r="A3" s="4" t="inlineStr">
        <is>
          <t>Tourist eVisa basics</t>
        </is>
      </c>
      <c r="B3" s="4" t="inlineStr">
        <is>
          <t>Tourist eVisa requires passport validity of at least 6 months, recent color photo, passport bio page, return ticket proof, and hotel/registered accommodation proof.</t>
        </is>
      </c>
      <c r="C3" s="4" t="inlineStr">
        <is>
          <t>Good fit only if the trip is genuinely tourism plus informal meetings; for factory purchasing meetings, business visa may be safer/cleaner.</t>
        </is>
      </c>
      <c r="D3" s="8" t="inlineStr">
        <is>
          <t>https://evisa.moip.gov.mm/apply-visa/notice-tourist-visa</t>
        </is>
      </c>
    </row>
    <row r="4">
      <c r="A4" s="4" t="inlineStr">
        <is>
          <t>Business eVisa basics</t>
        </is>
      </c>
      <c r="B4" s="4" t="inlineStr">
        <is>
          <t>Business eVisa requires invitation by a registered Myanmar company/chamber and company documents including registration/DICA extract/annual return proof.</t>
        </is>
      </c>
      <c r="C4" s="4" t="inlineStr">
        <is>
          <t>Ask a preferred supplier to send proper invitation docs only after you verify the company is active and legitimate.</t>
        </is>
      </c>
      <c r="D4" s="8" t="inlineStr">
        <is>
          <t>https://evisa.moip.gov.mm/apply-visa/notice-business-visa</t>
        </is>
      </c>
    </row>
    <row r="5">
      <c r="A5" s="4" t="inlineStr">
        <is>
          <t>eVisa ports</t>
        </is>
      </c>
      <c r="B5" s="4" t="inlineStr">
        <is>
          <t>Current eVisa entry ports include Yangon International Airport, Mandalay, Nay Pyi Taw, and Kawthaung land border.</t>
        </is>
      </c>
      <c r="C5" s="4" t="inlineStr">
        <is>
          <t>For this trip, use Yangon International Airport only; do not build a multi-city route until security is checked city-by-city.</t>
        </is>
      </c>
      <c r="D5" s="8" t="inlineStr">
        <is>
          <t>https://evisa.moip.gov.mm/notice/tourist</t>
        </is>
      </c>
    </row>
    <row r="6">
      <c r="A6" s="4" t="inlineStr">
        <is>
          <t>Yangon factory geography</t>
        </is>
      </c>
      <c r="B6" s="4" t="inlineStr">
        <is>
          <t>The best concentration of direct hair leads found is North Okkalapa; secondary leads are Hlaing Tharyar and South Dagon/Dagon Seikkan.</t>
        </is>
      </c>
      <c r="C6" s="4" t="inlineStr">
        <is>
          <t>Day 1: North Okkalapa appointments only. Day 2: backup/revisits. Day 3: only if local driver confirms Hlaing Tharyar/South Dagon route is safe that week.</t>
        </is>
      </c>
      <c r="D6" s="8" t="inlineStr">
        <is>
          <t>https://www.myanmarhairextension.com/contact.html</t>
        </is>
      </c>
    </row>
    <row r="7">
      <c r="A7" s="4" t="inlineStr">
        <is>
          <t>Go / no-go rule</t>
        </is>
      </c>
      <c r="B7" s="4" t="inlineStr">
        <is>
          <t>Do not rely only on an online listing for a Myanmar visit.</t>
        </is>
      </c>
      <c r="C7" s="4" t="inlineStr">
        <is>
          <t>Require: confirmed appointment, live video call from facility, hotel/driver confirmation, supplier sends pin, no demand for large deposit, and route check on the same day.</t>
        </is>
      </c>
      <c r="D7" s="4" t="inlineStr">
        <is>
          <t>Compiled from official advisory + sourcing workflow</t>
        </is>
      </c>
    </row>
  </sheetData>
  <autoFilter ref="A1:D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32" customWidth="1" min="4" max="4"/>
    <col width="22" customWidth="1" min="5" max="5"/>
    <col width="42" customWidth="1" min="6" max="6"/>
    <col width="42" customWidth="1" min="7" max="7"/>
    <col width="20" customWidth="1" min="8" max="8"/>
    <col width="22" customWidth="1" min="9" max="9"/>
    <col width="20" customWidth="1" min="10" max="10"/>
    <col width="22" customWidth="1" min="11" max="11"/>
    <col width="14" customWidth="1" min="12" max="12"/>
    <col width="58" customWidth="1" min="13" max="13"/>
    <col width="45" customWidth="1" min="14" max="14"/>
    <col width="45" customWidth="1" min="15" max="15"/>
  </cols>
  <sheetData>
    <row r="1" ht="32" customHeight="1">
      <c r="A1" s="5" t="inlineStr">
        <is>
          <t>Country</t>
        </is>
      </c>
      <c r="B1" s="5" t="inlineStr">
        <is>
          <t>City/Region</t>
        </is>
      </c>
      <c r="C1" s="5" t="inlineStr">
        <is>
          <t>Area</t>
        </is>
      </c>
      <c r="D1" s="5" t="inlineStr">
        <is>
          <t>Company / Lead</t>
        </is>
      </c>
      <c r="E1" s="5" t="inlineStr">
        <is>
          <t>Lead Type</t>
        </is>
      </c>
      <c r="F1" s="5" t="inlineStr">
        <is>
          <t>Products / Focus</t>
        </is>
      </c>
      <c r="G1" s="5" t="inlineStr">
        <is>
          <t>Address / Visit Notes</t>
        </is>
      </c>
      <c r="H1" s="5" t="inlineStr">
        <is>
          <t>Primary WhatsApp / Phone</t>
        </is>
      </c>
      <c r="I1" s="5" t="inlineStr">
        <is>
          <t>WhatsApp Link 1</t>
        </is>
      </c>
      <c r="J1" s="5" t="inlineStr">
        <is>
          <t>Secondary WhatsApp / Phone</t>
        </is>
      </c>
      <c r="K1" s="5" t="inlineStr">
        <is>
          <t>WhatsApp Link 2</t>
        </is>
      </c>
      <c r="L1" s="5" t="inlineStr">
        <is>
          <t>Confidence</t>
        </is>
      </c>
      <c r="M1" s="5" t="inlineStr">
        <is>
          <t>Verification / Risk Notes</t>
        </is>
      </c>
      <c r="N1" s="5" t="inlineStr">
        <is>
          <t>Source URL 1</t>
        </is>
      </c>
      <c r="O1" s="5" t="inlineStr">
        <is>
          <t>Source URL 2</t>
        </is>
      </c>
    </row>
    <row r="2" ht="54" customHeight="1">
      <c r="A2" s="9" t="inlineStr">
        <is>
          <t>Myanmar</t>
        </is>
      </c>
      <c r="B2" s="9" t="inlineStr">
        <is>
          <t>Yangon</t>
        </is>
      </c>
      <c r="C2" s="9" t="inlineStr">
        <is>
          <t>North Okkalapa</t>
        </is>
      </c>
      <c r="D2" s="9" t="inlineStr">
        <is>
          <t>Tet Nay Lin Co., Ltd. / Hair Supplier Myanmar / Myanmar Hair Exporter</t>
        </is>
      </c>
      <c r="E2" s="9" t="inlineStr">
        <is>
          <t>Factory/exporter</t>
        </is>
      </c>
      <c r="F2" s="9" t="inlineStr">
        <is>
          <t>Burmese virgin/remy hair, wigs, closures/frontals, weft, bulk</t>
        </is>
      </c>
      <c r="G2" s="9" t="inlineStr">
        <is>
          <t>No.10/11, Khwar Nyo 7th St, Hta Qtr, North Okkalapa Township, Yangon</t>
        </is>
      </c>
      <c r="H2" s="9" t="inlineStr">
        <is>
          <t>+959441433143</t>
        </is>
      </c>
      <c r="I2" s="8">
        <f>HYPERLINK("https://wa.me/959441433143","Message on WhatsApp")</f>
        <v/>
      </c>
      <c r="J2" s="9" t="inlineStr">
        <is>
          <t>+959775145650</t>
        </is>
      </c>
      <c r="K2" s="8">
        <f>HYPERLINK("https://wa.me/959775145650","Message on WhatsApp")</f>
        <v/>
      </c>
      <c r="L2" s="10" t="inlineStr">
        <is>
          <t>High</t>
        </is>
      </c>
      <c r="M2" s="11" t="inlineStr">
        <is>
          <t>Direct website lists WhatsApp + address; likely same network as Myanmar Hair Exporter. Ask for DICA extract if using business visa invitation.</t>
        </is>
      </c>
      <c r="N2" s="8" t="inlineStr">
        <is>
          <t>https://www.myanmarhairextension.com/contact.html</t>
        </is>
      </c>
      <c r="O2" s="8" t="inlineStr">
        <is>
          <t>https://myanmarhairexporter.com/contact-us-send-inquiry/</t>
        </is>
      </c>
    </row>
    <row r="3" ht="54" customHeight="1">
      <c r="A3" s="9" t="inlineStr">
        <is>
          <t>Myanmar</t>
        </is>
      </c>
      <c r="B3" s="9" t="inlineStr">
        <is>
          <t>Yangon</t>
        </is>
      </c>
      <c r="C3" s="9" t="inlineStr">
        <is>
          <t>North Okkalapa</t>
        </is>
      </c>
      <c r="D3" s="9" t="inlineStr">
        <is>
          <t>Hair Myanmar Extension / Hair Extension Myanmar</t>
        </is>
      </c>
      <c r="E3" s="9" t="inlineStr">
        <is>
          <t>Supplier/collector/manufacturer</t>
        </is>
      </c>
      <c r="F3" s="9" t="inlineStr">
        <is>
          <t>Hair from salons, donation centers, monasteries, direct ponytail cutting, sub-collectors</t>
        </is>
      </c>
      <c r="G3" s="9" t="inlineStr">
        <is>
          <t>No.11, Khwar Nyo St, Htawunbe Quarter, North Okkala Township/Mingalardon, Yangon</t>
        </is>
      </c>
      <c r="H3" s="9" t="inlineStr">
        <is>
          <t>+95973165461</t>
        </is>
      </c>
      <c r="I3" s="8">
        <f>HYPERLINK("https://wa.me/95973165461","Message on WhatsApp")</f>
        <v/>
      </c>
      <c r="J3" s="9" t="inlineStr">
        <is>
          <t>+959791254063</t>
        </is>
      </c>
      <c r="K3" s="8">
        <f>HYPERLINK("https://wa.me/959791254063","Message on WhatsApp")</f>
        <v/>
      </c>
      <c r="L3" s="12" t="inlineStr">
        <is>
          <t>Medium-High</t>
        </is>
      </c>
      <c r="M3" s="11" t="inlineStr">
        <is>
          <t>Good sourcing-language fit for raw hair collection; verify whether same/related to Tet Nay Lin.</t>
        </is>
      </c>
      <c r="N3" s="8" t="inlineStr">
        <is>
          <t>https://www.myanmarhairextension.com/</t>
        </is>
      </c>
      <c r="O3" s="9" t="inlineStr"/>
    </row>
    <row r="4" ht="54" customHeight="1">
      <c r="A4" s="9" t="inlineStr">
        <is>
          <t>Myanmar</t>
        </is>
      </c>
      <c r="B4" s="9" t="inlineStr">
        <is>
          <t>Yangon</t>
        </is>
      </c>
      <c r="C4" s="9" t="inlineStr">
        <is>
          <t>North Okkalapa</t>
        </is>
      </c>
      <c r="D4" s="9" t="inlineStr">
        <is>
          <t>Burmese Hair Extensions Center 1 / BHC</t>
        </is>
      </c>
      <c r="E4" s="9" t="inlineStr">
        <is>
          <t>Supplier/processor</t>
        </is>
      </c>
      <c r="F4" s="9" t="inlineStr">
        <is>
          <t>Virgin hair, non-remy hair, raw hair, washing/drying prep; recent 2026 posts</t>
        </is>
      </c>
      <c r="G4" s="9" t="inlineStr">
        <is>
          <t>No.305, Myittar Street, North Okkalapa, Yangon 11031</t>
        </is>
      </c>
      <c r="H4" s="9" t="inlineStr">
        <is>
          <t>+959797290256</t>
        </is>
      </c>
      <c r="I4" s="8">
        <f>HYPERLINK("https://wa.me/959797290256","Message on WhatsApp")</f>
        <v/>
      </c>
      <c r="J4" s="9" t="inlineStr"/>
      <c r="K4" s="4" t="inlineStr">
        <is>
          <t>No public WhatsApp found</t>
        </is>
      </c>
      <c r="L4" s="10" t="inlineStr">
        <is>
          <t>High</t>
        </is>
      </c>
      <c r="M4" s="11" t="inlineStr">
        <is>
          <t>Recent public posts list WhatsApp and claim no chemical/no mixed/no lice. Good first Yangon visit.</t>
        </is>
      </c>
      <c r="N4" s="8" t="inlineStr">
        <is>
          <t>https://www.beautynailhairsalons.com/MM/Yangon/768994363255832/Burmese-Hair-Extensions-Center-1</t>
        </is>
      </c>
      <c r="O4" s="8" t="inlineStr">
        <is>
          <t>https://www.findglocal.com/MM/Yangon/768994363255832/Burmese-Hair-Extensions-Center-1</t>
        </is>
      </c>
    </row>
    <row r="5" ht="54" customHeight="1">
      <c r="A5" s="9" t="inlineStr">
        <is>
          <t>Myanmar</t>
        </is>
      </c>
      <c r="B5" s="9" t="inlineStr">
        <is>
          <t>Yangon</t>
        </is>
      </c>
      <c r="C5" s="9" t="inlineStr">
        <is>
          <t>North Okkalapa</t>
        </is>
      </c>
      <c r="D5" s="9" t="inlineStr">
        <is>
          <t>Efficient Hair Company / BHC-linked site</t>
        </is>
      </c>
      <c r="E5" s="9" t="inlineStr">
        <is>
          <t>Website/contact lead</t>
        </is>
      </c>
      <c r="F5" s="9" t="inlineStr">
        <is>
          <t>Likely linked to Burmese Hair Extensions Center listing</t>
        </is>
      </c>
      <c r="G5" s="9" t="inlineStr">
        <is>
          <t>North Okkalapa, Yangon</t>
        </is>
      </c>
      <c r="H5" s="9" t="inlineStr">
        <is>
          <t>+959797290256</t>
        </is>
      </c>
      <c r="I5" s="8">
        <f>HYPERLINK("https://wa.me/959797290256","Message on WhatsApp")</f>
        <v/>
      </c>
      <c r="J5" s="9" t="inlineStr"/>
      <c r="K5" s="4" t="inlineStr">
        <is>
          <t>No public WhatsApp found</t>
        </is>
      </c>
      <c r="L5" s="12" t="inlineStr">
        <is>
          <t>Medium</t>
        </is>
      </c>
      <c r="M5" s="11" t="inlineStr">
        <is>
          <t>Website appears attached to BHC listing; verify active site/contact before visiting.</t>
        </is>
      </c>
      <c r="N5" s="8" t="inlineStr">
        <is>
          <t>http://www.efficienthairbusiness.com/</t>
        </is>
      </c>
      <c r="O5" s="8" t="inlineStr">
        <is>
          <t>https://www.beautynailhairsalons.com/MM/Yangon/768994363255832/Burmese-Hair-Extensions-Center-1</t>
        </is>
      </c>
    </row>
    <row r="6" ht="54" customHeight="1">
      <c r="A6" s="9" t="inlineStr">
        <is>
          <t>Myanmar</t>
        </is>
      </c>
      <c r="B6" s="9" t="inlineStr">
        <is>
          <t>Yangon</t>
        </is>
      </c>
      <c r="C6" s="9" t="inlineStr">
        <is>
          <t>Hlaing Tharyar</t>
        </is>
      </c>
      <c r="D6" s="9" t="inlineStr">
        <is>
          <t>Deok San</t>
        </is>
      </c>
      <c r="E6" s="9" t="inlineStr">
        <is>
          <t>Factory/manufacturer lead</t>
        </is>
      </c>
      <c r="F6" s="9" t="inlineStr">
        <is>
          <t>Hairpieces/extensions; industrial zone listing</t>
        </is>
      </c>
      <c r="G6" s="9" t="inlineStr">
        <is>
          <t>No.274, Shwe Yin Aye Kyaung Street, Hlaing Tharyar Industrial Zone 5, Yangon</t>
        </is>
      </c>
      <c r="H6" s="9" t="inlineStr"/>
      <c r="I6" s="4" t="inlineStr">
        <is>
          <t>No public WhatsApp found</t>
        </is>
      </c>
      <c r="J6" s="9" t="inlineStr"/>
      <c r="K6" s="4" t="inlineStr">
        <is>
          <t>No public WhatsApp found</t>
        </is>
      </c>
      <c r="L6" s="12" t="inlineStr">
        <is>
          <t>Medium</t>
        </is>
      </c>
      <c r="M6" s="11" t="inlineStr">
        <is>
          <t>No WhatsApp found in public scrape; good physical visit lead only after local driver/assistant confirms.</t>
        </is>
      </c>
      <c r="N6" s="8" t="inlineStr">
        <is>
          <t>https://www.findglocal.com/MM/Yangon/154494-8/genre/181550638549454/Hairpieces%2B%26%2BExtensions</t>
        </is>
      </c>
      <c r="O6" s="9" t="inlineStr"/>
    </row>
    <row r="7" ht="54" customHeight="1">
      <c r="A7" s="9" t="inlineStr">
        <is>
          <t>Myanmar</t>
        </is>
      </c>
      <c r="B7" s="9" t="inlineStr">
        <is>
          <t>Yangon</t>
        </is>
      </c>
      <c r="C7" s="9" t="inlineStr">
        <is>
          <t>Hlaing Tharyar</t>
        </is>
      </c>
      <c r="D7" s="9" t="inlineStr">
        <is>
          <t>Win Aate Group Co., Ltd.</t>
        </is>
      </c>
      <c r="E7" s="9" t="inlineStr">
        <is>
          <t>Wig/factory lead</t>
        </is>
      </c>
      <c r="F7" s="9" t="inlineStr">
        <is>
          <t>Wigs/hairpieces</t>
        </is>
      </c>
      <c r="G7" s="9" t="inlineStr">
        <is>
          <t>315 Tine Tar Min Gyi St, Shwe Linban Industrial Zone, Hlaing Tharyar Township</t>
        </is>
      </c>
      <c r="H7" s="9" t="inlineStr"/>
      <c r="I7" s="4" t="inlineStr">
        <is>
          <t>No public WhatsApp found</t>
        </is>
      </c>
      <c r="J7" s="9" t="inlineStr"/>
      <c r="K7" s="4" t="inlineStr">
        <is>
          <t>No public WhatsApp found</t>
        </is>
      </c>
      <c r="L7" s="12" t="inlineStr">
        <is>
          <t>Medium</t>
        </is>
      </c>
      <c r="M7" s="11" t="inlineStr">
        <is>
          <t>Listed under wigs; confirm whether manufacturing, trading, or retail.</t>
        </is>
      </c>
      <c r="N7" s="8" t="inlineStr">
        <is>
          <t>https://www.yangondirectory.com/listing/freelisting/wigs</t>
        </is>
      </c>
      <c r="O7" s="9" t="inlineStr"/>
    </row>
    <row r="8" ht="54" customHeight="1">
      <c r="A8" s="9" t="inlineStr">
        <is>
          <t>Myanmar</t>
        </is>
      </c>
      <c r="B8" s="9" t="inlineStr">
        <is>
          <t>Yangon</t>
        </is>
      </c>
      <c r="C8" s="9" t="inlineStr">
        <is>
          <t>South Dagon / Dagon Seikkan</t>
        </is>
      </c>
      <c r="D8" s="9" t="inlineStr">
        <is>
          <t>DICA-listed virgin Remy / wig factory lead</t>
        </is>
      </c>
      <c r="E8" s="9" t="inlineStr">
        <is>
          <t>Industrial/factory lead</t>
        </is>
      </c>
      <c r="F8" s="9" t="inlineStr">
        <is>
          <t>Virgin Remy double-drawn hair and wigs</t>
        </is>
      </c>
      <c r="G8" s="9" t="inlineStr">
        <is>
          <t>South Dagon / Dagon Seikkan area, Yangon</t>
        </is>
      </c>
      <c r="H8" s="9" t="inlineStr"/>
      <c r="I8" s="4" t="inlineStr">
        <is>
          <t>No public WhatsApp found</t>
        </is>
      </c>
      <c r="J8" s="9" t="inlineStr"/>
      <c r="K8" s="4" t="inlineStr">
        <is>
          <t>No public WhatsApp found</t>
        </is>
      </c>
      <c r="L8" s="12" t="inlineStr">
        <is>
          <t>Medium</t>
        </is>
      </c>
      <c r="M8" s="11" t="inlineStr">
        <is>
          <t>Official investment/industrial source mentioned hair/wig production in this zone; use as target area for local broker search, not a direct appointment.</t>
        </is>
      </c>
      <c r="N8" s="8" t="inlineStr">
        <is>
          <t>https://www.dica.gov.mm/</t>
        </is>
      </c>
      <c r="O8" s="9" t="inlineStr"/>
    </row>
    <row r="9" ht="54" customHeight="1">
      <c r="A9" s="9" t="inlineStr">
        <is>
          <t>Myanmar</t>
        </is>
      </c>
      <c r="B9" s="9" t="inlineStr">
        <is>
          <t>Yangon</t>
        </is>
      </c>
      <c r="C9" s="9" t="inlineStr">
        <is>
          <t>Yangon general</t>
        </is>
      </c>
      <c r="D9" s="9" t="inlineStr">
        <is>
          <t>Sandar Burmese Hair</t>
        </is>
      </c>
      <c r="E9" s="9" t="inlineStr">
        <is>
          <t>Factory/supplier lead</t>
        </is>
      </c>
      <c r="F9" s="9" t="inlineStr">
        <is>
          <t>Wefts, bulk hair, tape-ins, tips, clips, reported as Burmese hair factory</t>
        </is>
      </c>
      <c r="G9" s="9" t="inlineStr">
        <is>
          <t>Yangon, Myanmar</t>
        </is>
      </c>
      <c r="H9" s="9" t="inlineStr"/>
      <c r="I9" s="4" t="inlineStr">
        <is>
          <t>No public WhatsApp found</t>
        </is>
      </c>
      <c r="J9" s="9" t="inlineStr"/>
      <c r="K9" s="4" t="inlineStr">
        <is>
          <t>No public WhatsApp found</t>
        </is>
      </c>
      <c r="L9" s="6" t="inlineStr">
        <is>
          <t>Low-Medium</t>
        </is>
      </c>
      <c r="M9" s="11" t="inlineStr">
        <is>
          <t>Secondary-source lead; need current phone/social verification before relying on it.</t>
        </is>
      </c>
      <c r="N9" s="8" t="inlineStr">
        <is>
          <t>https://glahair.com/blog/burmese-hair-factory/</t>
        </is>
      </c>
      <c r="O9" s="9" t="inlineStr"/>
    </row>
  </sheetData>
  <autoFilter ref="A1:O9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N4" r:id="rId4"/>
    <hyperlink xmlns:r="http://schemas.openxmlformats.org/officeDocument/2006/relationships" ref="O4" r:id="rId5"/>
    <hyperlink xmlns:r="http://schemas.openxmlformats.org/officeDocument/2006/relationships" ref="N5" r:id="rId6"/>
    <hyperlink xmlns:r="http://schemas.openxmlformats.org/officeDocument/2006/relationships" ref="O5" r:id="rId7"/>
    <hyperlink xmlns:r="http://schemas.openxmlformats.org/officeDocument/2006/relationships" ref="N6" r:id="rId8"/>
    <hyperlink xmlns:r="http://schemas.openxmlformats.org/officeDocument/2006/relationships" ref="N7" r:id="rId9"/>
    <hyperlink xmlns:r="http://schemas.openxmlformats.org/officeDocument/2006/relationships" ref="N8" r:id="rId10"/>
    <hyperlink xmlns:r="http://schemas.openxmlformats.org/officeDocument/2006/relationships" ref="N9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32" customWidth="1" min="4" max="4"/>
    <col width="22" customWidth="1" min="5" max="5"/>
    <col width="42" customWidth="1" min="6" max="6"/>
    <col width="42" customWidth="1" min="7" max="7"/>
    <col width="20" customWidth="1" min="8" max="8"/>
    <col width="22" customWidth="1" min="9" max="9"/>
    <col width="20" customWidth="1" min="10" max="10"/>
    <col width="22" customWidth="1" min="11" max="11"/>
    <col width="14" customWidth="1" min="12" max="12"/>
    <col width="58" customWidth="1" min="13" max="13"/>
    <col width="45" customWidth="1" min="14" max="14"/>
    <col width="45" customWidth="1" min="15" max="15"/>
  </cols>
  <sheetData>
    <row r="1" ht="32" customHeight="1">
      <c r="A1" s="5" t="inlineStr">
        <is>
          <t>Country</t>
        </is>
      </c>
      <c r="B1" s="5" t="inlineStr">
        <is>
          <t>City/Region</t>
        </is>
      </c>
      <c r="C1" s="5" t="inlineStr">
        <is>
          <t>Area</t>
        </is>
      </c>
      <c r="D1" s="5" t="inlineStr">
        <is>
          <t>Company / Lead</t>
        </is>
      </c>
      <c r="E1" s="5" t="inlineStr">
        <is>
          <t>Lead Type</t>
        </is>
      </c>
      <c r="F1" s="5" t="inlineStr">
        <is>
          <t>Products / Focus</t>
        </is>
      </c>
      <c r="G1" s="5" t="inlineStr">
        <is>
          <t>Address / Visit Notes</t>
        </is>
      </c>
      <c r="H1" s="5" t="inlineStr">
        <is>
          <t>Primary WhatsApp / Phone</t>
        </is>
      </c>
      <c r="I1" s="5" t="inlineStr">
        <is>
          <t>WhatsApp Link 1</t>
        </is>
      </c>
      <c r="J1" s="5" t="inlineStr">
        <is>
          <t>Secondary WhatsApp / Phone</t>
        </is>
      </c>
      <c r="K1" s="5" t="inlineStr">
        <is>
          <t>WhatsApp Link 2</t>
        </is>
      </c>
      <c r="L1" s="5" t="inlineStr">
        <is>
          <t>Confidence</t>
        </is>
      </c>
      <c r="M1" s="5" t="inlineStr">
        <is>
          <t>Verification / Risk Notes</t>
        </is>
      </c>
      <c r="N1" s="5" t="inlineStr">
        <is>
          <t>Source URL 1</t>
        </is>
      </c>
      <c r="O1" s="5" t="inlineStr">
        <is>
          <t>Source URL 2</t>
        </is>
      </c>
    </row>
    <row r="2" ht="54" customHeight="1">
      <c r="A2" s="9" t="inlineStr">
        <is>
          <t>Cambodia</t>
        </is>
      </c>
      <c r="B2" s="9" t="inlineStr">
        <is>
          <t>Phnom Penh / Vietnam-linked</t>
        </is>
      </c>
      <c r="C2" s="9" t="inlineStr"/>
      <c r="D2" s="9" t="inlineStr">
        <is>
          <t>Cambodian Hair Factory</t>
        </is>
      </c>
      <c r="E2" s="9" t="inlineStr">
        <is>
          <t>Brand/vendor; says products mainly from Vietnamese factories</t>
        </is>
      </c>
      <c r="F2" s="9" t="inlineStr">
        <is>
          <t>Wholesale human hair, extensions; source appears Vietnam despite Cambodia branding</t>
        </is>
      </c>
      <c r="G2" s="9" t="inlineStr"/>
      <c r="H2" s="9" t="inlineStr">
        <is>
          <t>+84855555901</t>
        </is>
      </c>
      <c r="I2" s="8">
        <f>HYPERLINK("https://wa.me/84855555901","Message on WhatsApp")</f>
        <v/>
      </c>
      <c r="J2" s="9" t="inlineStr"/>
      <c r="K2" s="4" t="inlineStr">
        <is>
          <t>No public WhatsApp found</t>
        </is>
      </c>
      <c r="L2" s="12" t="inlineStr">
        <is>
          <t>Medium</t>
        </is>
      </c>
      <c r="M2" s="11" t="inlineStr">
        <is>
          <t>Useful contact, but not true Cambodian-origin by their own site; categorize as Vietnam-source vendor.</t>
        </is>
      </c>
      <c r="N2" s="8" t="inlineStr">
        <is>
          <t>https://cambodianhairfactory.com/contact-page/</t>
        </is>
      </c>
      <c r="O2" s="8" t="inlineStr">
        <is>
          <t>https://cambodianhairfactory.com/about-us/</t>
        </is>
      </c>
    </row>
    <row r="3" ht="54" customHeight="1">
      <c r="A3" s="9" t="inlineStr">
        <is>
          <t>Cambodia</t>
        </is>
      </c>
      <c r="B3" s="9" t="inlineStr">
        <is>
          <t>Cambodia / UK contact</t>
        </is>
      </c>
      <c r="C3" s="9" t="inlineStr"/>
      <c r="D3" s="9" t="inlineStr">
        <is>
          <t>Virgin Hair Cambodia</t>
        </is>
      </c>
      <c r="E3" s="9" t="inlineStr">
        <is>
          <t>Ethical Cambodian hair manufacturer/supplier</t>
        </is>
      </c>
      <c r="F3" s="9" t="inlineStr">
        <is>
          <t>Sheitels, wigs, human hair; collection teams in rural villages</t>
        </is>
      </c>
      <c r="G3" s="9" t="inlineStr">
        <is>
          <t>Cambodia; exact factory address not public</t>
        </is>
      </c>
      <c r="H3" s="9" t="inlineStr">
        <is>
          <t>+447930554652</t>
        </is>
      </c>
      <c r="I3" s="8">
        <f>HYPERLINK("https://wa.me/447930554652","Message on WhatsApp")</f>
        <v/>
      </c>
      <c r="J3" s="9" t="inlineStr"/>
      <c r="K3" s="4" t="inlineStr">
        <is>
          <t>No public WhatsApp found</t>
        </is>
      </c>
      <c r="L3" s="10" t="inlineStr">
        <is>
          <t>High</t>
        </is>
      </c>
      <c r="M3" s="11" t="inlineStr">
        <is>
          <t>Strong ethical sourcing language; phone is UK number, request Cambodia factory visit details and collection proof.</t>
        </is>
      </c>
      <c r="N3" s="8" t="inlineStr">
        <is>
          <t>https://www.virginhaircambodia.com/</t>
        </is>
      </c>
      <c r="O3" s="8" t="inlineStr">
        <is>
          <t>https://www.virginhaircambodia.com/contact</t>
        </is>
      </c>
    </row>
    <row r="4" ht="54" customHeight="1">
      <c r="A4" s="9" t="inlineStr">
        <is>
          <t>Cambodia</t>
        </is>
      </c>
      <c r="B4" s="9" t="inlineStr">
        <is>
          <t>Siem Reap</t>
        </is>
      </c>
      <c r="C4" s="9" t="inlineStr"/>
      <c r="D4" s="9" t="inlineStr">
        <is>
          <t>Cambodian Raw Hair - CRH</t>
        </is>
      </c>
      <c r="E4" s="9" t="inlineStr">
        <is>
          <t>Premium hair company / collector</t>
        </is>
      </c>
      <c r="F4" s="9" t="inlineStr">
        <is>
          <t>Raw Cambodian hair, closures, frontals, collected from donors</t>
        </is>
      </c>
      <c r="G4" s="9" t="inlineStr">
        <is>
          <t>Kantrok Village, Svay Dangkum, Siem Reap</t>
        </is>
      </c>
      <c r="H4" s="9" t="inlineStr">
        <is>
          <t>+855966823098</t>
        </is>
      </c>
      <c r="I4" s="8">
        <f>HYPERLINK("https://wa.me/855966823098","Message on WhatsApp")</f>
        <v/>
      </c>
      <c r="J4" s="9" t="inlineStr"/>
      <c r="K4" s="4" t="inlineStr">
        <is>
          <t>No public WhatsApp found</t>
        </is>
      </c>
      <c r="L4" s="12" t="inlineStr">
        <is>
          <t>Medium-High</t>
        </is>
      </c>
      <c r="M4" s="11" t="inlineStr">
        <is>
          <t>Public listing says created in 2020 and collects hair from donor; WhatsApp not explicitly guaranteed but mobile likely reachable.</t>
        </is>
      </c>
      <c r="N4" s="8" t="inlineStr">
        <is>
          <t>https://www.findglocal.com/KH/Siem-Reap/115186696796611/Cambodian-Raw-Hair---CRH</t>
        </is>
      </c>
      <c r="O4" s="8" t="inlineStr">
        <is>
          <t>https://www.cambodianrawhair.com/</t>
        </is>
      </c>
    </row>
    <row r="5" ht="54" customHeight="1">
      <c r="A5" s="9" t="inlineStr">
        <is>
          <t>Cambodia</t>
        </is>
      </c>
      <c r="B5" s="9" t="inlineStr">
        <is>
          <t>USA/Cambodia</t>
        </is>
      </c>
      <c r="C5" s="9" t="inlineStr"/>
      <c r="D5" s="9" t="inlineStr">
        <is>
          <t>Cambodian Raw Hair Extensions</t>
        </is>
      </c>
      <c r="E5" s="9" t="inlineStr">
        <is>
          <t>Retail/wholesale brand</t>
        </is>
      </c>
      <c r="F5" s="9" t="inlineStr">
        <is>
          <t>Cambodian raw hair extensions; explicitly asks wholesalers to use WhatsApp</t>
        </is>
      </c>
      <c r="G5" s="9" t="inlineStr">
        <is>
          <t>Mailing address USA; Cambodia sources not public</t>
        </is>
      </c>
      <c r="H5" s="9" t="inlineStr">
        <is>
          <t>+85570835626</t>
        </is>
      </c>
      <c r="I5" s="8">
        <f>HYPERLINK("https://wa.me/85570835626","Message on WhatsApp")</f>
        <v/>
      </c>
      <c r="J5" s="9" t="inlineStr"/>
      <c r="K5" s="4" t="inlineStr">
        <is>
          <t>No public WhatsApp found</t>
        </is>
      </c>
      <c r="L5" s="12" t="inlineStr">
        <is>
          <t>Medium-High</t>
        </is>
      </c>
      <c r="M5" s="11" t="inlineStr">
        <is>
          <t>Has direct phone/WhatsApp and scam warning; ask for exact Cambodia collection/factory proof.</t>
        </is>
      </c>
      <c r="N5" s="8" t="inlineStr">
        <is>
          <t>https://www.cambodianrawhairextensions.com/contactus</t>
        </is>
      </c>
      <c r="O5" s="9" t="inlineStr"/>
    </row>
    <row r="6" ht="54" customHeight="1">
      <c r="A6" s="9" t="inlineStr">
        <is>
          <t>Cambodia</t>
        </is>
      </c>
      <c r="B6" s="9" t="inlineStr">
        <is>
          <t>Phnom Penh</t>
        </is>
      </c>
      <c r="C6" s="9" t="inlineStr"/>
      <c r="D6" s="9" t="inlineStr">
        <is>
          <t>Sambo Hair Extensions</t>
        </is>
      </c>
      <c r="E6" s="9" t="inlineStr">
        <is>
          <t>Supplier</t>
        </is>
      </c>
      <c r="F6" s="9" t="inlineStr">
        <is>
          <t>Cambodian virgin hair, raw hair, wefted hair, bulk hair</t>
        </is>
      </c>
      <c r="G6" s="9" t="inlineStr">
        <is>
          <t>No.137, Street 06, Kontoak, Porsenchey, Borey New World 1, Phnom Penh</t>
        </is>
      </c>
      <c r="H6" s="9" t="inlineStr">
        <is>
          <t>+85512421922</t>
        </is>
      </c>
      <c r="I6" s="8">
        <f>HYPERLINK("https://wa.me/85512421922","Message on WhatsApp")</f>
        <v/>
      </c>
      <c r="J6" s="9" t="inlineStr"/>
      <c r="K6" s="4" t="inlineStr">
        <is>
          <t>No public WhatsApp found</t>
        </is>
      </c>
      <c r="L6" s="12" t="inlineStr">
        <is>
          <t>Medium</t>
        </is>
      </c>
      <c r="M6" s="11" t="inlineStr">
        <is>
          <t>Active-ish listing with phone; verify wholesale capacity and export experience.</t>
        </is>
      </c>
      <c r="N6" s="8" t="inlineStr">
        <is>
          <t>https://www.beautynailhairsalons.com/KH/Phnom-Penh/1435048319854511/Sambo-hair-extensions</t>
        </is>
      </c>
      <c r="O6" s="9" t="inlineStr"/>
    </row>
    <row r="7" ht="54" customHeight="1">
      <c r="A7" s="9" t="inlineStr">
        <is>
          <t>Cambodia</t>
        </is>
      </c>
      <c r="B7" s="9" t="inlineStr">
        <is>
          <t>Siem Reap</t>
        </is>
      </c>
      <c r="C7" s="9" t="inlineStr"/>
      <c r="D7" s="9" t="inlineStr">
        <is>
          <t>Apsarangkor Premium Virgin Hair</t>
        </is>
      </c>
      <c r="E7" s="9" t="inlineStr">
        <is>
          <t>Manufacturer/supplier lead</t>
        </is>
      </c>
      <c r="F7" s="9" t="inlineStr">
        <is>
          <t>Premium virgin hair; claims raw hair from donors; bundles, closure/frontal, wig</t>
        </is>
      </c>
      <c r="G7" s="9" t="inlineStr">
        <is>
          <t>Thlok Angdoung Village, Sangkat Sla Kram, Siem Reap</t>
        </is>
      </c>
      <c r="H7" s="9" t="inlineStr"/>
      <c r="I7" s="4" t="inlineStr">
        <is>
          <t>No public WhatsApp found</t>
        </is>
      </c>
      <c r="J7" s="9" t="inlineStr"/>
      <c r="K7" s="4" t="inlineStr">
        <is>
          <t>No public WhatsApp found</t>
        </is>
      </c>
      <c r="L7" s="12" t="inlineStr">
        <is>
          <t>Medium</t>
        </is>
      </c>
      <c r="M7" s="11" t="inlineStr">
        <is>
          <t>No public WhatsApp found; use Facebook/Instagram route and local visit if in Siem Reap.</t>
        </is>
      </c>
      <c r="N7" s="8" t="inlineStr">
        <is>
          <t>https://www.beautynailhairsalons.com/KH/Siem-Reap/299889944285394/Apsarangkor-Premium-Virgin-Hair</t>
        </is>
      </c>
      <c r="O7" s="9" t="inlineStr"/>
    </row>
    <row r="8" ht="54" customHeight="1">
      <c r="A8" s="9" t="inlineStr">
        <is>
          <t>Cambodia</t>
        </is>
      </c>
      <c r="B8" s="9" t="inlineStr">
        <is>
          <t>Siem Reap / USA</t>
        </is>
      </c>
      <c r="C8" s="9" t="inlineStr"/>
      <c r="D8" s="9" t="inlineStr">
        <is>
          <t>Beon Hair Extensions</t>
        </is>
      </c>
      <c r="E8" s="9" t="inlineStr">
        <is>
          <t>Supplier/provider</t>
        </is>
      </c>
      <c r="F8" s="9" t="inlineStr">
        <is>
          <t>Virgin Cambodian hair, wigs, closures, frontals, bundles, ponytails</t>
        </is>
      </c>
      <c r="G8" s="9" t="inlineStr">
        <is>
          <t>8RHR+F5 Krong, Siem Reap</t>
        </is>
      </c>
      <c r="H8" s="9" t="inlineStr"/>
      <c r="I8" s="4" t="inlineStr">
        <is>
          <t>No public WhatsApp found</t>
        </is>
      </c>
      <c r="J8" s="9" t="inlineStr"/>
      <c r="K8" s="4" t="inlineStr">
        <is>
          <t>No public WhatsApp found</t>
        </is>
      </c>
      <c r="L8" s="6" t="inlineStr">
        <is>
          <t>Low-Medium</t>
        </is>
      </c>
      <c r="M8" s="11" t="inlineStr">
        <is>
          <t>Older activity; email/social DM may work. Verify before spending time.</t>
        </is>
      </c>
      <c r="N8" s="8" t="inlineStr">
        <is>
          <t>https://www.findglocal.com/KH/Siem-Reap/107401070838366/Beon-Hair-Extensions</t>
        </is>
      </c>
      <c r="O8" s="9" t="inlineStr"/>
    </row>
    <row r="9" ht="54" customHeight="1">
      <c r="A9" s="9" t="inlineStr">
        <is>
          <t>Cambodia</t>
        </is>
      </c>
      <c r="B9" s="9" t="inlineStr">
        <is>
          <t>Phnom Penh</t>
        </is>
      </c>
      <c r="C9" s="9" t="inlineStr"/>
      <c r="D9" s="9" t="inlineStr">
        <is>
          <t>KeiSa International Ltd.</t>
        </is>
      </c>
      <c r="E9" s="9" t="inlineStr">
        <is>
          <t>Hair/extensions and beauty supplier</t>
        </is>
      </c>
      <c r="F9" s="9" t="inlineStr">
        <is>
          <t>Cambodian virgin hair extensions, bulk hair, sewing hair</t>
        </is>
      </c>
      <c r="G9" s="9" t="inlineStr">
        <is>
          <t>No.8D, Sorla (St.371), Trea 1 Village, Phnom Penh</t>
        </is>
      </c>
      <c r="H9" s="9" t="inlineStr"/>
      <c r="I9" s="4" t="inlineStr">
        <is>
          <t>No public WhatsApp found</t>
        </is>
      </c>
      <c r="J9" s="9" t="inlineStr"/>
      <c r="K9" s="4" t="inlineStr">
        <is>
          <t>No public WhatsApp found</t>
        </is>
      </c>
      <c r="L9" s="6" t="inlineStr">
        <is>
          <t>Low-Medium</t>
        </is>
      </c>
      <c r="M9" s="11" t="inlineStr">
        <is>
          <t>Directory hides exact phone/email; use business directory/contact form or local lookup.</t>
        </is>
      </c>
      <c r="N9" s="8" t="inlineStr">
        <is>
          <t>https://kh56490.contact.page/</t>
        </is>
      </c>
      <c r="O9" s="9" t="inlineStr"/>
    </row>
    <row r="10" ht="54" customHeight="1">
      <c r="A10" s="9" t="inlineStr">
        <is>
          <t>Cambodia</t>
        </is>
      </c>
      <c r="B10" s="9" t="inlineStr">
        <is>
          <t>Phnom Penh</t>
        </is>
      </c>
      <c r="C10" s="9" t="inlineStr"/>
      <c r="D10" s="9" t="inlineStr">
        <is>
          <t>The Elect Cambodian Hair Company</t>
        </is>
      </c>
      <c r="E10" s="9" t="inlineStr">
        <is>
          <t>Raw Cambodian hair company lead</t>
        </is>
      </c>
      <c r="F10" s="9" t="inlineStr">
        <is>
          <t>Raw Cambodian hair extensions; donor-sourced claims</t>
        </is>
      </c>
      <c r="G10" s="9" t="inlineStr">
        <is>
          <t>Phnom Penh, Cambodia</t>
        </is>
      </c>
      <c r="H10" s="9" t="inlineStr"/>
      <c r="I10" s="4" t="inlineStr">
        <is>
          <t>No public WhatsApp found</t>
        </is>
      </c>
      <c r="J10" s="9" t="inlineStr"/>
      <c r="K10" s="4" t="inlineStr">
        <is>
          <t>No public WhatsApp found</t>
        </is>
      </c>
      <c r="L10" s="6" t="inlineStr">
        <is>
          <t>Low-Medium</t>
        </is>
      </c>
      <c r="M10" s="11" t="inlineStr">
        <is>
          <t>Listing has recent crawl but limited direct contact; verify website/social.</t>
        </is>
      </c>
      <c r="N10" s="8" t="inlineStr">
        <is>
          <t>https://www.beautynailhairsalons.com/KH/Phnom-Penh/179503428841451/The-Elect-Cambodian-Hair-Company</t>
        </is>
      </c>
      <c r="O10" s="9" t="inlineStr"/>
    </row>
    <row r="11" ht="54" customHeight="1">
      <c r="A11" s="9" t="inlineStr">
        <is>
          <t>Cambodia</t>
        </is>
      </c>
      <c r="B11" s="9" t="inlineStr">
        <is>
          <t>Cambodia / UK contact</t>
        </is>
      </c>
      <c r="C11" s="9" t="inlineStr"/>
      <c r="D11" s="9" t="inlineStr">
        <is>
          <t>Dellahs Hair</t>
        </is>
      </c>
      <c r="E11" s="9" t="inlineStr">
        <is>
          <t>Brand/factory claim</t>
        </is>
      </c>
      <c r="F11" s="9" t="inlineStr">
        <is>
          <t>Raw Cambodian and Burmese hair; claims factory in Cambodia</t>
        </is>
      </c>
      <c r="G11" s="9" t="inlineStr">
        <is>
          <t>Cambodia factory, exact address not public</t>
        </is>
      </c>
      <c r="H11" s="9" t="inlineStr">
        <is>
          <t>+447367693170</t>
        </is>
      </c>
      <c r="I11" s="8">
        <f>HYPERLINK("https://wa.me/447367693170","Message on WhatsApp")</f>
        <v/>
      </c>
      <c r="J11" s="9" t="inlineStr"/>
      <c r="K11" s="4" t="inlineStr">
        <is>
          <t>No public WhatsApp found</t>
        </is>
      </c>
      <c r="L11" s="12" t="inlineStr">
        <is>
          <t>Medium</t>
        </is>
      </c>
      <c r="M11" s="11" t="inlineStr">
        <is>
          <t>Public Tumblr lists WhatsApp for wholesale only; verify factory address and live tour.</t>
        </is>
      </c>
      <c r="N11" s="8" t="inlineStr">
        <is>
          <t>https://dellahshair.tumblr.com/</t>
        </is>
      </c>
      <c r="O11" s="9" t="inlineStr"/>
    </row>
  </sheetData>
  <autoFilter ref="A1:O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N6" r:id="rId8"/>
    <hyperlink xmlns:r="http://schemas.openxmlformats.org/officeDocument/2006/relationships" ref="N7" r:id="rId9"/>
    <hyperlink xmlns:r="http://schemas.openxmlformats.org/officeDocument/2006/relationships" ref="N8" r:id="rId10"/>
    <hyperlink xmlns:r="http://schemas.openxmlformats.org/officeDocument/2006/relationships" ref="N9" r:id="rId11"/>
    <hyperlink xmlns:r="http://schemas.openxmlformats.org/officeDocument/2006/relationships" ref="N10" r:id="rId12"/>
    <hyperlink xmlns:r="http://schemas.openxmlformats.org/officeDocument/2006/relationships" ref="N11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32" customWidth="1" min="4" max="4"/>
    <col width="22" customWidth="1" min="5" max="5"/>
    <col width="42" customWidth="1" min="6" max="6"/>
    <col width="42" customWidth="1" min="7" max="7"/>
    <col width="20" customWidth="1" min="8" max="8"/>
    <col width="22" customWidth="1" min="9" max="9"/>
    <col width="20" customWidth="1" min="10" max="10"/>
    <col width="22" customWidth="1" min="11" max="11"/>
    <col width="14" customWidth="1" min="12" max="12"/>
    <col width="58" customWidth="1" min="13" max="13"/>
    <col width="45" customWidth="1" min="14" max="14"/>
    <col width="45" customWidth="1" min="15" max="15"/>
  </cols>
  <sheetData>
    <row r="1" ht="32" customHeight="1">
      <c r="A1" s="5" t="inlineStr">
        <is>
          <t>Country</t>
        </is>
      </c>
      <c r="B1" s="5" t="inlineStr">
        <is>
          <t>City/Region</t>
        </is>
      </c>
      <c r="C1" s="5" t="inlineStr">
        <is>
          <t>Area</t>
        </is>
      </c>
      <c r="D1" s="5" t="inlineStr">
        <is>
          <t>Company / Lead</t>
        </is>
      </c>
      <c r="E1" s="5" t="inlineStr">
        <is>
          <t>Lead Type</t>
        </is>
      </c>
      <c r="F1" s="5" t="inlineStr">
        <is>
          <t>Products / Focus</t>
        </is>
      </c>
      <c r="G1" s="5" t="inlineStr">
        <is>
          <t>Address / Visit Notes</t>
        </is>
      </c>
      <c r="H1" s="5" t="inlineStr">
        <is>
          <t>Primary WhatsApp / Phone</t>
        </is>
      </c>
      <c r="I1" s="5" t="inlineStr">
        <is>
          <t>WhatsApp Link 1</t>
        </is>
      </c>
      <c r="J1" s="5" t="inlineStr">
        <is>
          <t>Secondary WhatsApp / Phone</t>
        </is>
      </c>
      <c r="K1" s="5" t="inlineStr">
        <is>
          <t>WhatsApp Link 2</t>
        </is>
      </c>
      <c r="L1" s="5" t="inlineStr">
        <is>
          <t>Confidence</t>
        </is>
      </c>
      <c r="M1" s="5" t="inlineStr">
        <is>
          <t>Verification / Risk Notes</t>
        </is>
      </c>
      <c r="N1" s="5" t="inlineStr">
        <is>
          <t>Source URL 1</t>
        </is>
      </c>
      <c r="O1" s="5" t="inlineStr">
        <is>
          <t>Source URL 2</t>
        </is>
      </c>
    </row>
    <row r="2" ht="54" customHeight="1">
      <c r="A2" s="9" t="inlineStr">
        <is>
          <t>Vietnam</t>
        </is>
      </c>
      <c r="B2" s="9" t="inlineStr">
        <is>
          <t>Bac Ninh</t>
        </is>
      </c>
      <c r="C2" s="9" t="inlineStr"/>
      <c r="D2" s="9" t="inlineStr">
        <is>
          <t>T&amp;T Vietnam Hair</t>
        </is>
      </c>
      <c r="E2" s="9" t="inlineStr">
        <is>
          <t>Factory/direct supplier</t>
        </is>
      </c>
      <c r="F2" s="9" t="inlineStr">
        <is>
          <t>Wigs, bundles, extensions, weft, bulk, closures/frontals, tape-ins, clips, ponytails</t>
        </is>
      </c>
      <c r="G2" s="9" t="inlineStr">
        <is>
          <t>Bac Ninh, Vietnam</t>
        </is>
      </c>
      <c r="H2" s="9" t="inlineStr">
        <is>
          <t>+84983830188</t>
        </is>
      </c>
      <c r="I2" s="8">
        <f>HYPERLINK("https://wa.me/84983830188","Message on WhatsApp")</f>
        <v/>
      </c>
      <c r="J2" s="9" t="inlineStr">
        <is>
          <t>+84974011202</t>
        </is>
      </c>
      <c r="K2" s="8">
        <f>HYPERLINK("https://wa.me/84974011202","Message on WhatsApp")</f>
        <v/>
      </c>
      <c r="L2" s="10" t="inlineStr">
        <is>
          <t>High</t>
        </is>
      </c>
      <c r="M2" s="11" t="inlineStr">
        <is>
          <t>Multiple WhatsApp numbers and factory-direct language; good first contact.</t>
        </is>
      </c>
      <c r="N2" s="8" t="inlineStr">
        <is>
          <t>https://ttvietnamhair.com/</t>
        </is>
      </c>
      <c r="O2" s="9" t="inlineStr"/>
    </row>
    <row r="3" ht="54" customHeight="1">
      <c r="A3" s="9" t="inlineStr">
        <is>
          <t>Vietnam</t>
        </is>
      </c>
      <c r="B3" s="9" t="inlineStr">
        <is>
          <t>Hanoi / Bac Ninh</t>
        </is>
      </c>
      <c r="C3" s="9" t="inlineStr"/>
      <c r="D3" s="9" t="inlineStr">
        <is>
          <t>Lyn Hair Factory</t>
        </is>
      </c>
      <c r="E3" s="9" t="inlineStr">
        <is>
          <t>Factory/supplier</t>
        </is>
      </c>
      <c r="F3" s="9" t="inlineStr">
        <is>
          <t>Vietnamese bundles, wigs, remy, virgin hair</t>
        </is>
      </c>
      <c r="G3" s="9" t="inlineStr">
        <is>
          <t>Office: My Dinh Plaza, 138 Tran Binh St, Nam Tu Liem, Hanoi</t>
        </is>
      </c>
      <c r="H3" s="9" t="inlineStr">
        <is>
          <t>+84936085069</t>
        </is>
      </c>
      <c r="I3" s="8">
        <f>HYPERLINK("https://wa.me/84936085069","Message on WhatsApp")</f>
        <v/>
      </c>
      <c r="J3" s="9" t="inlineStr"/>
      <c r="K3" s="4" t="inlineStr">
        <is>
          <t>No public WhatsApp found</t>
        </is>
      </c>
      <c r="L3" s="10" t="inlineStr">
        <is>
          <t>High</t>
        </is>
      </c>
      <c r="M3" s="11" t="inlineStr">
        <is>
          <t>Direct website lists WhatsApp and office.</t>
        </is>
      </c>
      <c r="N3" s="8" t="inlineStr">
        <is>
          <t>https://lynhair.com/human-hair-extensions/</t>
        </is>
      </c>
      <c r="O3" s="9" t="inlineStr"/>
    </row>
    <row r="4" ht="54" customHeight="1">
      <c r="A4" s="9" t="inlineStr">
        <is>
          <t>Vietnam</t>
        </is>
      </c>
      <c r="B4" s="9" t="inlineStr">
        <is>
          <t>Bac Ninh</t>
        </is>
      </c>
      <c r="C4" s="9" t="inlineStr"/>
      <c r="D4" s="9" t="inlineStr">
        <is>
          <t>AZYHAIR</t>
        </is>
      </c>
      <c r="E4" s="9" t="inlineStr">
        <is>
          <t>Factory/supplier</t>
        </is>
      </c>
      <c r="F4" s="9" t="inlineStr">
        <is>
          <t>Raw human hair, bulk hair, custom wigs, private label</t>
        </is>
      </c>
      <c r="G4" s="9" t="inlineStr">
        <is>
          <t>Bai Thuong, Hiep Hoa, Bac Ninh, Vietnam</t>
        </is>
      </c>
      <c r="H4" s="9" t="inlineStr">
        <is>
          <t>+84896638986</t>
        </is>
      </c>
      <c r="I4" s="8">
        <f>HYPERLINK("https://wa.me/84896638986","Message on WhatsApp")</f>
        <v/>
      </c>
      <c r="J4" s="9" t="inlineStr"/>
      <c r="K4" s="4" t="inlineStr">
        <is>
          <t>No public WhatsApp found</t>
        </is>
      </c>
      <c r="L4" s="10" t="inlineStr">
        <is>
          <t>High</t>
        </is>
      </c>
      <c r="M4" s="11" t="inlineStr">
        <is>
          <t>Current site, WhatsApp, factory location, B2B claims.</t>
        </is>
      </c>
      <c r="N4" s="8" t="inlineStr">
        <is>
          <t>https://azyhair.com/</t>
        </is>
      </c>
      <c r="O4" s="9" t="inlineStr"/>
    </row>
    <row r="5" ht="54" customHeight="1">
      <c r="A5" s="9" t="inlineStr">
        <is>
          <t>Vietnam</t>
        </is>
      </c>
      <c r="B5" s="9" t="inlineStr">
        <is>
          <t>Bac Ninh / Hanoi</t>
        </is>
      </c>
      <c r="C5" s="9" t="inlineStr"/>
      <c r="D5" s="9" t="inlineStr">
        <is>
          <t>Van Anh Hair</t>
        </is>
      </c>
      <c r="E5" s="9" t="inlineStr">
        <is>
          <t>Factory/supplier</t>
        </is>
      </c>
      <c r="F5" s="9" t="inlineStr">
        <is>
          <t>Raw hair, virgin hair, high-quality extensions</t>
        </is>
      </c>
      <c r="G5" s="9" t="inlineStr">
        <is>
          <t>Dong Xuat, Dong Tho, Yen Phong, Bac Ninh</t>
        </is>
      </c>
      <c r="H5" s="9" t="inlineStr">
        <is>
          <t>+84586888388</t>
        </is>
      </c>
      <c r="I5" s="8">
        <f>HYPERLINK("https://wa.me/84586888388","Message on WhatsApp")</f>
        <v/>
      </c>
      <c r="J5" s="9" t="inlineStr">
        <is>
          <t>+84915501994</t>
        </is>
      </c>
      <c r="K5" s="8">
        <f>HYPERLINK("https://wa.me/84915501994","Message on WhatsApp")</f>
        <v/>
      </c>
      <c r="L5" s="10" t="inlineStr">
        <is>
          <t>High</t>
        </is>
      </c>
      <c r="M5" s="11" t="inlineStr">
        <is>
          <t>Direct contact page lists staff WhatsApp links; also Ruby +84 368 563 592.</t>
        </is>
      </c>
      <c r="N5" s="8" t="inlineStr">
        <is>
          <t>https://vananhhair.com/contact/</t>
        </is>
      </c>
      <c r="O5" s="9" t="inlineStr"/>
    </row>
    <row r="6" ht="54" customHeight="1">
      <c r="A6" s="9" t="inlineStr">
        <is>
          <t>Vietnam</t>
        </is>
      </c>
      <c r="B6" s="9" t="inlineStr">
        <is>
          <t>Vietnam</t>
        </is>
      </c>
      <c r="C6" s="9" t="inlineStr"/>
      <c r="D6" s="9" t="inlineStr">
        <is>
          <t>Luxshine Hair Factory</t>
        </is>
      </c>
      <c r="E6" s="9" t="inlineStr">
        <is>
          <t>Factory/wholesale extensions</t>
        </is>
      </c>
      <c r="F6" s="9" t="inlineStr">
        <is>
          <t>Vietnamese human hair, machine weft, wigs, custom hair</t>
        </is>
      </c>
      <c r="G6" s="9" t="inlineStr">
        <is>
          <t>Vietnam; exact factory not in listing</t>
        </is>
      </c>
      <c r="H6" s="9" t="inlineStr">
        <is>
          <t>+84986483797</t>
        </is>
      </c>
      <c r="I6" s="8">
        <f>HYPERLINK("https://wa.me/84986483797","Message on WhatsApp")</f>
        <v/>
      </c>
      <c r="J6" s="9" t="inlineStr"/>
      <c r="K6" s="4" t="inlineStr">
        <is>
          <t>No public WhatsApp found</t>
        </is>
      </c>
      <c r="L6" s="10" t="inlineStr">
        <is>
          <t>High</t>
        </is>
      </c>
      <c r="M6" s="11" t="inlineStr">
        <is>
          <t>Recent listing and WhatsApp. Ask for factory address before visit.</t>
        </is>
      </c>
      <c r="N6" s="8" t="inlineStr">
        <is>
          <t>https://www.beautynailhairsalons.com/VN/Unknown/181859389029354/Luxshine-Hair-Factory--Wholesale-Hair-Extensions</t>
        </is>
      </c>
      <c r="O6" s="8" t="inlineStr">
        <is>
          <t>https://luxshinehair.com</t>
        </is>
      </c>
    </row>
    <row r="7" ht="54" customHeight="1">
      <c r="A7" s="9" t="inlineStr">
        <is>
          <t>Vietnam</t>
        </is>
      </c>
      <c r="B7" s="9" t="inlineStr">
        <is>
          <t>Bac Ninh</t>
        </is>
      </c>
      <c r="C7" s="9" t="inlineStr"/>
      <c r="D7" s="9" t="inlineStr">
        <is>
          <t>Govihair</t>
        </is>
      </c>
      <c r="E7" s="9" t="inlineStr">
        <is>
          <t>Wholesale factory</t>
        </is>
      </c>
      <c r="F7" s="9" t="inlineStr">
        <is>
          <t>Raw Vietnamese hair, single donor, private label</t>
        </is>
      </c>
      <c r="G7" s="9" t="inlineStr">
        <is>
          <t>Vietnam; factory details on site</t>
        </is>
      </c>
      <c r="H7" s="9" t="inlineStr">
        <is>
          <t>+84934832698</t>
        </is>
      </c>
      <c r="I7" s="8">
        <f>HYPERLINK("https://wa.me/84934832698","Message on WhatsApp")</f>
        <v/>
      </c>
      <c r="J7" s="9" t="inlineStr"/>
      <c r="K7" s="4" t="inlineStr">
        <is>
          <t>No public WhatsApp found</t>
        </is>
      </c>
      <c r="L7" s="10" t="inlineStr">
        <is>
          <t>High</t>
        </is>
      </c>
      <c r="M7" s="11" t="inlineStr">
        <is>
          <t>Site lists WhatsApp and B2B support.</t>
        </is>
      </c>
      <c r="N7" s="8" t="inlineStr">
        <is>
          <t>https://govihair.com/</t>
        </is>
      </c>
      <c r="O7" s="9" t="inlineStr"/>
    </row>
    <row r="8" ht="54" customHeight="1">
      <c r="A8" s="9" t="inlineStr">
        <is>
          <t>Vietnam</t>
        </is>
      </c>
      <c r="B8" s="9" t="inlineStr">
        <is>
          <t>Hanoi / Vinh Phuc</t>
        </is>
      </c>
      <c r="C8" s="9" t="inlineStr"/>
      <c r="D8" s="9" t="inlineStr">
        <is>
          <t>RUSA Hair</t>
        </is>
      </c>
      <c r="E8" s="9" t="inlineStr">
        <is>
          <t>Factory/supplier</t>
        </is>
      </c>
      <c r="F8" s="9" t="inlineStr">
        <is>
          <t>Keratin, tape-in, weft, raw material, clip-in, OEM/ODM</t>
        </is>
      </c>
      <c r="G8" s="9" t="inlineStr">
        <is>
          <t>Office: 1A, 137 My Dinh St, Tu Liem, Hanoi; factory: Trung Nguyen Commune, Yen Lac, Vinh Phuc</t>
        </is>
      </c>
      <c r="H8" s="9" t="inlineStr">
        <is>
          <t>+84836855468</t>
        </is>
      </c>
      <c r="I8" s="8">
        <f>HYPERLINK("https://wa.me/84836855468","Message on WhatsApp")</f>
        <v/>
      </c>
      <c r="J8" s="9" t="inlineStr"/>
      <c r="K8" s="4" t="inlineStr">
        <is>
          <t>No public WhatsApp found</t>
        </is>
      </c>
      <c r="L8" s="10" t="inlineStr">
        <is>
          <t>High</t>
        </is>
      </c>
      <c r="M8" s="11" t="inlineStr">
        <is>
          <t>Direct site lists office, factory and WhatsApp.</t>
        </is>
      </c>
      <c r="N8" s="8" t="inlineStr">
        <is>
          <t>https://www.rusahair.com/</t>
        </is>
      </c>
      <c r="O8" s="9" t="inlineStr"/>
    </row>
    <row r="9" ht="54" customHeight="1">
      <c r="A9" s="9" t="inlineStr">
        <is>
          <t>Vietnam</t>
        </is>
      </c>
      <c r="B9" s="9" t="inlineStr">
        <is>
          <t>Bac Ninh / Hanoi</t>
        </is>
      </c>
      <c r="C9" s="9" t="inlineStr"/>
      <c r="D9" s="9" t="inlineStr">
        <is>
          <t>Hairac Vietnam</t>
        </is>
      </c>
      <c r="E9" s="9" t="inlineStr">
        <is>
          <t>Factory/supplier</t>
        </is>
      </c>
      <c r="F9" s="9" t="inlineStr">
        <is>
          <t>Bulk raw hair, colored bulk, keratin, tape, clip, weft, hair systems</t>
        </is>
      </c>
      <c r="G9" s="9" t="inlineStr">
        <is>
          <t>Factory: Bai Thuong Village, Hiep Hoa Commune, Bac Ninh; office: Ngoai Giao Doan, Xuan Dinh, Hanoi</t>
        </is>
      </c>
      <c r="H9" s="9" t="inlineStr">
        <is>
          <t>+84904650468</t>
        </is>
      </c>
      <c r="I9" s="8">
        <f>HYPERLINK("https://wa.me/84904650468","Message on WhatsApp")</f>
        <v/>
      </c>
      <c r="J9" s="9" t="inlineStr"/>
      <c r="K9" s="4" t="inlineStr">
        <is>
          <t>No public WhatsApp found</t>
        </is>
      </c>
      <c r="L9" s="10" t="inlineStr">
        <is>
          <t>High</t>
        </is>
      </c>
      <c r="M9" s="11" t="inlineStr">
        <is>
          <t>Direct site lists factory, office, WhatsApp and email.</t>
        </is>
      </c>
      <c r="N9" s="8" t="inlineStr">
        <is>
          <t>https://hairac.com.vn/</t>
        </is>
      </c>
      <c r="O9" s="9" t="inlineStr"/>
    </row>
    <row r="10" ht="54" customHeight="1">
      <c r="A10" s="9" t="inlineStr">
        <is>
          <t>Vietnam</t>
        </is>
      </c>
      <c r="B10" s="9" t="inlineStr">
        <is>
          <t>Vietnam</t>
        </is>
      </c>
      <c r="C10" s="9" t="inlineStr"/>
      <c r="D10" s="9" t="inlineStr">
        <is>
          <t>APOHAIR</t>
        </is>
      </c>
      <c r="E10" s="9" t="inlineStr">
        <is>
          <t>Factory-direct manufacturer</t>
        </is>
      </c>
      <c r="F10" s="9" t="inlineStr">
        <is>
          <t>Raw Vietnamese hair, extensions, wigs, bundles, bulk; MOQ 200g</t>
        </is>
      </c>
      <c r="G10" s="9" t="inlineStr">
        <is>
          <t>Vietnam; exact factory address not in snippet</t>
        </is>
      </c>
      <c r="H10" s="9" t="inlineStr">
        <is>
          <t>+84862132366</t>
        </is>
      </c>
      <c r="I10" s="8">
        <f>HYPERLINK("https://wa.me/84862132366","Message on WhatsApp")</f>
        <v/>
      </c>
      <c r="J10" s="9" t="inlineStr"/>
      <c r="K10" s="4" t="inlineStr">
        <is>
          <t>No public WhatsApp found</t>
        </is>
      </c>
      <c r="L10" s="10" t="inlineStr">
        <is>
          <t>High</t>
        </is>
      </c>
      <c r="M10" s="11" t="inlineStr">
        <is>
          <t>Direct site lists 24/7 WhatsApp and factory-direct manufacturer language.</t>
        </is>
      </c>
      <c r="N10" s="8" t="inlineStr">
        <is>
          <t>https://apohair.com/</t>
        </is>
      </c>
      <c r="O10" s="8" t="inlineStr">
        <is>
          <t>https://apohair.com/raw-vietnamese-hair-wholesale/</t>
        </is>
      </c>
    </row>
    <row r="11" ht="54" customHeight="1">
      <c r="A11" s="9" t="inlineStr">
        <is>
          <t>Vietnam</t>
        </is>
      </c>
      <c r="B11" s="9" t="inlineStr">
        <is>
          <t>Vietnam</t>
        </is>
      </c>
      <c r="C11" s="9" t="inlineStr"/>
      <c r="D11" s="9" t="inlineStr">
        <is>
          <t>GREATHAIR Vietnam</t>
        </is>
      </c>
      <c r="E11" s="9" t="inlineStr">
        <is>
          <t>Factory/supplier</t>
        </is>
      </c>
      <c r="F11" s="9" t="inlineStr">
        <is>
          <t>Raw Vietnamese hair, OEM/ODM extensions</t>
        </is>
      </c>
      <c r="G11" s="9" t="inlineStr">
        <is>
          <t>Vietnam</t>
        </is>
      </c>
      <c r="H11" s="9" t="inlineStr">
        <is>
          <t>+84813282399</t>
        </is>
      </c>
      <c r="I11" s="8">
        <f>HYPERLINK("https://wa.me/84813282399","Message on WhatsApp")</f>
        <v/>
      </c>
      <c r="J11" s="9" t="inlineStr"/>
      <c r="K11" s="4" t="inlineStr">
        <is>
          <t>No public WhatsApp found</t>
        </is>
      </c>
      <c r="L11" s="12" t="inlineStr">
        <is>
          <t>Medium-High</t>
        </is>
      </c>
      <c r="M11" s="11" t="inlineStr">
        <is>
          <t>Direct site lists phone and WhatsApp button; request exact factory address.</t>
        </is>
      </c>
      <c r="N11" s="8" t="inlineStr">
        <is>
          <t>https://greathair.com.vn/</t>
        </is>
      </c>
      <c r="O11" s="9" t="inlineStr"/>
    </row>
    <row r="12" ht="54" customHeight="1">
      <c r="A12" s="9" t="inlineStr">
        <is>
          <t>Vietnam</t>
        </is>
      </c>
      <c r="B12" s="9" t="inlineStr">
        <is>
          <t>Bac Ninh / Hanoi</t>
        </is>
      </c>
      <c r="C12" s="9" t="inlineStr"/>
      <c r="D12" s="9" t="inlineStr">
        <is>
          <t>K-Hair</t>
        </is>
      </c>
      <c r="E12" s="9" t="inlineStr">
        <is>
          <t>Direct manufacturer</t>
        </is>
      </c>
      <c r="F12" s="9" t="inlineStr">
        <is>
          <t>Raw Vietnamese human hair; 2,000 m² facility in Bac Ninh; 2 tons/month claim</t>
        </is>
      </c>
      <c r="G12" s="9" t="inlineStr">
        <is>
          <t>Bac Ninh facility; Hanoi/online sales</t>
        </is>
      </c>
      <c r="H12" s="9" t="inlineStr"/>
      <c r="I12" s="4" t="inlineStr">
        <is>
          <t>No public WhatsApp found</t>
        </is>
      </c>
      <c r="J12" s="9" t="inlineStr"/>
      <c r="K12" s="4" t="inlineStr">
        <is>
          <t>No public WhatsApp found</t>
        </is>
      </c>
      <c r="L12" s="12" t="inlineStr">
        <is>
          <t>Medium-High</t>
        </is>
      </c>
      <c r="M12" s="11" t="inlineStr">
        <is>
          <t>Strong factory claims but WhatsApp number not captured in search snippet; use site chat/quote form.</t>
        </is>
      </c>
      <c r="N12" s="8" t="inlineStr">
        <is>
          <t>https://k-hair.com/</t>
        </is>
      </c>
      <c r="O12" s="9" t="inlineStr"/>
    </row>
    <row r="13" ht="54" customHeight="1">
      <c r="A13" s="9" t="inlineStr">
        <is>
          <t>Vietnam</t>
        </is>
      </c>
      <c r="B13" s="9" t="inlineStr">
        <is>
          <t>Bac Ninh / Hanoi</t>
        </is>
      </c>
      <c r="C13" s="9" t="inlineStr"/>
      <c r="D13" s="9" t="inlineStr">
        <is>
          <t>VQ Hair Factory</t>
        </is>
      </c>
      <c r="E13" s="9" t="inlineStr">
        <is>
          <t>Wholesale factory</t>
        </is>
      </c>
      <c r="F13" s="9" t="inlineStr">
        <is>
          <t>Bundles, closures/frontals, raw Vietnamese hair, extensions and wigs</t>
        </is>
      </c>
      <c r="G13" s="9" t="inlineStr">
        <is>
          <t>Factory: Dong Bich village, Dong Tho commune, Yen Phong district, Bac Ninh; office: Nam Tu Liem, Hanoi</t>
        </is>
      </c>
      <c r="H13" s="9" t="inlineStr">
        <is>
          <t>+84962318090</t>
        </is>
      </c>
      <c r="I13" s="8">
        <f>HYPERLINK("https://wa.me/84962318090","Message on WhatsApp")</f>
        <v/>
      </c>
      <c r="J13" s="9" t="inlineStr"/>
      <c r="K13" s="4" t="inlineStr">
        <is>
          <t>No public WhatsApp found</t>
        </is>
      </c>
      <c r="L13" s="10" t="inlineStr">
        <is>
          <t>High</t>
        </is>
      </c>
      <c r="M13" s="11" t="inlineStr">
        <is>
          <t>Direct site lists factory address and WhatsApp.</t>
        </is>
      </c>
      <c r="N13" s="8" t="inlineStr">
        <is>
          <t>https://vqhair.com/about-us/</t>
        </is>
      </c>
      <c r="O13" s="8" t="inlineStr">
        <is>
          <t>https://vqhair.com/</t>
        </is>
      </c>
    </row>
    <row r="14" ht="54" customHeight="1">
      <c r="A14" s="9" t="inlineStr">
        <is>
          <t>Vietnam</t>
        </is>
      </c>
      <c r="B14" s="9" t="inlineStr">
        <is>
          <t>Bac Ninh / Hanoi</t>
        </is>
      </c>
      <c r="C14" s="9" t="inlineStr"/>
      <c r="D14" s="9" t="inlineStr">
        <is>
          <t>Nice Hair Vietnam</t>
        </is>
      </c>
      <c r="E14" s="9" t="inlineStr">
        <is>
          <t>Factory</t>
        </is>
      </c>
      <c r="F14" s="9" t="inlineStr">
        <is>
          <t>Weft, bulk, closure/frontal, wigs, tape, color hair</t>
        </is>
      </c>
      <c r="G14" s="9" t="inlineStr">
        <is>
          <t>Factory: Dong Tho Commune, Yen Phong District, Bac Ninh; office/warehouse: 181 Xuan Thuy, Cau Giay, Hanoi</t>
        </is>
      </c>
      <c r="H14" s="9" t="inlineStr">
        <is>
          <t>+84967670678</t>
        </is>
      </c>
      <c r="I14" s="8">
        <f>HYPERLINK("https://wa.me/84967670678","Message on WhatsApp")</f>
        <v/>
      </c>
      <c r="J14" s="9" t="inlineStr"/>
      <c r="K14" s="4" t="inlineStr">
        <is>
          <t>No public WhatsApp found</t>
        </is>
      </c>
      <c r="L14" s="10" t="inlineStr">
        <is>
          <t>High</t>
        </is>
      </c>
      <c r="M14" s="11" t="inlineStr">
        <is>
          <t>Direct site lists factory and hotline; verify WhatsApp before sending money.</t>
        </is>
      </c>
      <c r="N14" s="8" t="inlineStr">
        <is>
          <t>https://nicehairvn.com/</t>
        </is>
      </c>
      <c r="O14" s="9" t="inlineStr"/>
    </row>
    <row r="15" ht="54" customHeight="1">
      <c r="A15" s="9" t="inlineStr">
        <is>
          <t>Vietnam</t>
        </is>
      </c>
      <c r="B15" s="9" t="inlineStr">
        <is>
          <t>Hanoi</t>
        </is>
      </c>
      <c r="C15" s="9" t="inlineStr"/>
      <c r="D15" s="9" t="inlineStr">
        <is>
          <t>Mic Hair</t>
        </is>
      </c>
      <c r="E15" s="9" t="inlineStr">
        <is>
          <t>Supplier/company</t>
        </is>
      </c>
      <c r="F15" s="9" t="inlineStr">
        <is>
          <t>Natural raw hair, wefts, extensions, frontals</t>
        </is>
      </c>
      <c r="G15" s="9" t="inlineStr">
        <is>
          <t>Hanoi City / Nam Tu Liem, Hanoi</t>
        </is>
      </c>
      <c r="H15" s="9" t="inlineStr">
        <is>
          <t>+84962279910</t>
        </is>
      </c>
      <c r="I15" s="8">
        <f>HYPERLINK("https://wa.me/84962279910","Message on WhatsApp")</f>
        <v/>
      </c>
      <c r="J15" s="9" t="inlineStr">
        <is>
          <t>+84968167955</t>
        </is>
      </c>
      <c r="K15" s="8">
        <f>HYPERLINK("https://wa.me/84968167955","Message on WhatsApp")</f>
        <v/>
      </c>
      <c r="L15" s="10" t="inlineStr">
        <is>
          <t>High</t>
        </is>
      </c>
      <c r="M15" s="11" t="inlineStr">
        <is>
          <t>Direct contact page lists WhatsApp/phone; listing also has staff WhatsApp.</t>
        </is>
      </c>
      <c r="N15" s="8" t="inlineStr">
        <is>
          <t>https://michair.vn/contact</t>
        </is>
      </c>
      <c r="O15" s="8" t="inlineStr">
        <is>
          <t>https://www.beautynailhairsalons.com/VN/Hanoi/595724573902434/MIC-Hair-Nhung</t>
        </is>
      </c>
    </row>
    <row r="16" ht="54" customHeight="1">
      <c r="A16" s="9" t="inlineStr">
        <is>
          <t>Vietnam</t>
        </is>
      </c>
      <c r="B16" s="9" t="inlineStr">
        <is>
          <t>Hanoi</t>
        </is>
      </c>
      <c r="C16" s="9" t="inlineStr"/>
      <c r="D16" s="9" t="inlineStr">
        <is>
          <t>Macsara Hair</t>
        </is>
      </c>
      <c r="E16" s="9" t="inlineStr">
        <is>
          <t>Factory/vendor</t>
        </is>
      </c>
      <c r="F16" s="9" t="inlineStr">
        <is>
          <t>Weft, clip-in, tape-in, tip-in, wigs</t>
        </is>
      </c>
      <c r="G16" s="9" t="inlineStr">
        <is>
          <t>3A Building, Lane 82 Duy Tan St, Dich Vong Hau Ward, Cau Giay, Hanoi</t>
        </is>
      </c>
      <c r="H16" s="9" t="inlineStr">
        <is>
          <t>+84986980492</t>
        </is>
      </c>
      <c r="I16" s="8">
        <f>HYPERLINK("https://wa.me/84986980492","Message on WhatsApp")</f>
        <v/>
      </c>
      <c r="J16" s="9" t="inlineStr"/>
      <c r="K16" s="4" t="inlineStr">
        <is>
          <t>No public WhatsApp found</t>
        </is>
      </c>
      <c r="L16" s="12" t="inlineStr">
        <is>
          <t>Medium</t>
        </is>
      </c>
      <c r="M16" s="11" t="inlineStr">
        <is>
          <t>Secondary source lists WhatsApp and address; verify directly via official site before buying.</t>
        </is>
      </c>
      <c r="N16" s="8" t="inlineStr">
        <is>
          <t>https://glahair.com/blog/raw-vietnamese-hair-vendors/</t>
        </is>
      </c>
      <c r="O16" s="8" t="inlineStr">
        <is>
          <t>https://macsara.vn/</t>
        </is>
      </c>
    </row>
    <row r="17" ht="54" customHeight="1">
      <c r="A17" s="9" t="inlineStr">
        <is>
          <t>Vietnam</t>
        </is>
      </c>
      <c r="B17" s="9" t="inlineStr">
        <is>
          <t>Bac Ninh</t>
        </is>
      </c>
      <c r="C17" s="9" t="inlineStr"/>
      <c r="D17" s="9" t="inlineStr">
        <is>
          <t>NiceHairs.vn / Nice Hairs family supplier</t>
        </is>
      </c>
      <c r="E17" s="9" t="inlineStr">
        <is>
          <t>Supplier/factory</t>
        </is>
      </c>
      <c r="F17" s="9" t="inlineStr">
        <is>
          <t>Single drawn, double drawn, machine wefted hair</t>
        </is>
      </c>
      <c r="G17" s="9" t="inlineStr">
        <is>
          <t>Trung Ban, Dong Tho Commune, Yen Phong District, Bac Ninh</t>
        </is>
      </c>
      <c r="H17" s="9" t="inlineStr">
        <is>
          <t>+84983203668</t>
        </is>
      </c>
      <c r="I17" s="8">
        <f>HYPERLINK("https://wa.me/84983203668","Message on WhatsApp")</f>
        <v/>
      </c>
      <c r="J17" s="9" t="inlineStr">
        <is>
          <t>+84985115168</t>
        </is>
      </c>
      <c r="K17" s="8">
        <f>HYPERLINK("https://wa.me/84985115168","Message on WhatsApp")</f>
        <v/>
      </c>
      <c r="L17" s="12" t="inlineStr">
        <is>
          <t>Medium-High</t>
        </is>
      </c>
      <c r="M17" s="11" t="inlineStr">
        <is>
          <t>Direct site lists two WhatsApp numbers and capacity; older-looking site, verify current operations.</t>
        </is>
      </c>
      <c r="N17" s="8" t="inlineStr">
        <is>
          <t>https://nicehairs.com/About</t>
        </is>
      </c>
      <c r="O17" s="9" t="inlineStr"/>
    </row>
  </sheetData>
  <autoFilter ref="A1:O1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O6" r:id="rId6"/>
    <hyperlink xmlns:r="http://schemas.openxmlformats.org/officeDocument/2006/relationships" ref="N7" r:id="rId7"/>
    <hyperlink xmlns:r="http://schemas.openxmlformats.org/officeDocument/2006/relationships" ref="N8" r:id="rId8"/>
    <hyperlink xmlns:r="http://schemas.openxmlformats.org/officeDocument/2006/relationships" ref="N9" r:id="rId9"/>
    <hyperlink xmlns:r="http://schemas.openxmlformats.org/officeDocument/2006/relationships" ref="N10" r:id="rId10"/>
    <hyperlink xmlns:r="http://schemas.openxmlformats.org/officeDocument/2006/relationships" ref="O10" r:id="rId11"/>
    <hyperlink xmlns:r="http://schemas.openxmlformats.org/officeDocument/2006/relationships" ref="N11" r:id="rId12"/>
    <hyperlink xmlns:r="http://schemas.openxmlformats.org/officeDocument/2006/relationships" ref="N12" r:id="rId13"/>
    <hyperlink xmlns:r="http://schemas.openxmlformats.org/officeDocument/2006/relationships" ref="N13" r:id="rId14"/>
    <hyperlink xmlns:r="http://schemas.openxmlformats.org/officeDocument/2006/relationships" ref="O13" r:id="rId15"/>
    <hyperlink xmlns:r="http://schemas.openxmlformats.org/officeDocument/2006/relationships" ref="N14" r:id="rId16"/>
    <hyperlink xmlns:r="http://schemas.openxmlformats.org/officeDocument/2006/relationships" ref="N15" r:id="rId17"/>
    <hyperlink xmlns:r="http://schemas.openxmlformats.org/officeDocument/2006/relationships" ref="O15" r:id="rId18"/>
    <hyperlink xmlns:r="http://schemas.openxmlformats.org/officeDocument/2006/relationships" ref="N16" r:id="rId19"/>
    <hyperlink xmlns:r="http://schemas.openxmlformats.org/officeDocument/2006/relationships" ref="O16" r:id="rId20"/>
    <hyperlink xmlns:r="http://schemas.openxmlformats.org/officeDocument/2006/relationships" ref="N17" r:id="rId21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2" customHeight="1">
      <c r="A1" s="5" t="inlineStr">
        <is>
          <t>Use Case</t>
        </is>
      </c>
      <c r="B1" s="5" t="inlineStr">
        <is>
          <t>Message</t>
        </is>
      </c>
    </row>
    <row r="2" ht="72" customHeight="1">
      <c r="A2" s="13" t="inlineStr">
        <is>
          <t>First supplier message</t>
        </is>
      </c>
      <c r="B2" s="4" t="inlineStr">
        <is>
          <t>Hi, my name is Rocky. I own Hair Maiden India in the USA. I am looking for a direct factory/collector for raw human hair and finished products. Can you send me your wholesale price list, product catalog, and a short live video of your factory or stock today? I am especially interested in raw ponytail/bulk hair, wefted hair, closures/frontals, and wigs.</t>
        </is>
      </c>
    </row>
    <row r="3" ht="72" customHeight="1">
      <c r="A3" s="13" t="inlineStr">
        <is>
          <t>Myanmar/Yangon verification</t>
        </is>
      </c>
      <c r="B3" s="4" t="inlineStr">
        <is>
          <t>Before I travel to Yangon, can you please confirm your full address, send a Google Maps pin, and show me on video where the hair is washed, sorted, wefted, and packed? Also, is the hair collected in Myanmar, or imported from India/Bangladesh/Pakistan and processed in Myanmar?</t>
        </is>
      </c>
    </row>
    <row r="4" ht="72" customHeight="1">
      <c r="A4" s="13" t="inlineStr">
        <is>
          <t>Cambodia verification</t>
        </is>
      </c>
      <c r="B4" s="4" t="inlineStr">
        <is>
          <t>I am looking for real Cambodian-origin hair, not Vietnamese hair sold under a Cambodian name. Can you explain where your hair is collected, whether it is single donor or mixed donor, and whether I can visit your Cambodia collection/factory location?</t>
        </is>
      </c>
    </row>
    <row r="5" ht="72" customHeight="1">
      <c r="A5" s="13" t="inlineStr">
        <is>
          <t>Vietnam verification</t>
        </is>
      </c>
      <c r="B5" s="4" t="inlineStr">
        <is>
          <t>I am comparing Vietnamese hair factories for long-term wholesale. Can you send pricing by kg for raw bulk, machine weft, tape-ins, closures/frontals, and wigs? Also please confirm MOQ, sample policy, DHL/FedEx shipping cost to Los Angeles, and whether you offer private label packaging.</t>
        </is>
      </c>
    </row>
    <row r="6" ht="72" customHeight="1">
      <c r="A6" s="13" t="inlineStr">
        <is>
          <t>Factory visit request</t>
        </is>
      </c>
      <c r="B6" s="4" t="inlineStr">
        <is>
          <t>I may be visiting soon. Are you open to a buyer visiting your facility? I would like to see raw hair stock, sorting, washing, wefting, ventilation/wig-making if available, and packing/export process. Please let me know the best date/time and what documents you need from me.</t>
        </is>
      </c>
    </row>
    <row r="7" ht="72" customHeight="1">
      <c r="A7" s="13" t="inlineStr">
        <is>
          <t>Sample order terms</t>
        </is>
      </c>
      <c r="B7" s="4" t="inlineStr">
        <is>
          <t>For a first test order, I want to start with a small paid sample, then scale if quality is consistent. Please quote: 100g raw bulk, 3 bundles 18/20/22, 5x5 closure, 13x4 frontal, and one wig sample. Please include shipping time, payment options, and return/exchange policy.</t>
        </is>
      </c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5" customWidth="1" min="3" max="3"/>
    <col width="48" customWidth="1" min="4" max="4"/>
    <col width="60" customWidth="1" min="5" max="5"/>
  </cols>
  <sheetData>
    <row r="1" ht="32" customHeight="1">
      <c r="A1" s="5" t="inlineStr">
        <is>
          <t>Country</t>
        </is>
      </c>
      <c r="B1" s="5" t="inlineStr">
        <is>
          <t>Best Use</t>
        </is>
      </c>
      <c r="C1" s="5" t="inlineStr">
        <is>
          <t>Why it matters</t>
        </is>
      </c>
      <c r="D1" s="5" t="inlineStr">
        <is>
          <t>Main risk</t>
        </is>
      </c>
      <c r="E1" s="5" t="inlineStr">
        <is>
          <t>Suggested next action</t>
        </is>
      </c>
    </row>
    <row r="2" ht="65" customHeight="1">
      <c r="A2" s="4" t="inlineStr">
        <is>
          <t>Myanmar/Yangon</t>
        </is>
      </c>
      <c r="B2" s="4" t="inlineStr">
        <is>
          <t>Raw Burmese-origin verification and niche sourcing</t>
        </is>
      </c>
      <c r="C2" s="4" t="inlineStr">
        <is>
          <t>Potential differentiation if you can prove true Burmese donor origin; Yangon has direct public leads.</t>
        </is>
      </c>
      <c r="D2" s="4" t="inlineStr">
        <is>
          <t>Safety/advisory risk; business visa documentation; some Myanmar processors may import hair from other countries.</t>
        </is>
      </c>
      <c r="E2" s="4" t="inlineStr">
        <is>
          <t>Do WhatsApp/video verification first; only visit North Okkalapa appointments in person.</t>
        </is>
      </c>
    </row>
    <row r="3" ht="65" customHeight="1">
      <c r="A3" s="4" t="inlineStr">
        <is>
          <t>Cambodia</t>
        </is>
      </c>
      <c r="B3" s="4" t="inlineStr">
        <is>
          <t>Premium raw Cambodian-origin sourcing, small batch/story-driven product</t>
        </is>
      </c>
      <c r="C3" s="4" t="inlineStr">
        <is>
          <t>Cambodian hair can be marketed as rare/premium if origin and ethics are documented.</t>
        </is>
      </c>
      <c r="D3" s="4" t="inlineStr">
        <is>
          <t>Many “Cambodian” vendors are actually Vietnam-source; fewer transparent factory addresses.</t>
        </is>
      </c>
      <c r="E3" s="4" t="inlineStr">
        <is>
          <t>Prioritize VHC, CRH, Cambodian Raw Hair Extensions; ask for donor/collection proof.</t>
        </is>
      </c>
    </row>
    <row r="4" ht="65" customHeight="1">
      <c r="A4" s="4" t="inlineStr">
        <is>
          <t>Vietnam</t>
        </is>
      </c>
      <c r="B4" s="4" t="inlineStr">
        <is>
          <t>Scalable manufacturing, private label, extensions/wigs/OEM</t>
        </is>
      </c>
      <c r="C4" s="4" t="inlineStr">
        <is>
          <t>Largest and most organized factory ecosystem among the three; many WhatsApp-ready suppliers.</t>
        </is>
      </c>
      <c r="D4" s="4" t="inlineStr">
        <is>
          <t>More competition; some “raw/single donor” claims need verification.</t>
        </is>
      </c>
      <c r="E4" s="4" t="inlineStr">
        <is>
          <t>Contact 8-12 suppliers, request catalogs/samples, then shortlist 3 factories around Bac Ninh/Hanoi.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2026-08-17T03:09:30Z</dcterms:created>
  <dcterms:modified xmlns:dcterms="http://purl.org/dc/terms/" xmlns:xsi="http://www.w3.org/2001/XMLSchema-instance" xsi:type="dcterms:W3CDTF">2026-08-17T03:09:30Z</dcterms:modified>
</cp:coreProperties>
</file>